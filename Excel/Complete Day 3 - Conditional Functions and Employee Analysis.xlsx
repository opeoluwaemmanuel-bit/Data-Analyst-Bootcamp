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 ANALYTICS\AI training Excel\"/>
    </mc:Choice>
  </mc:AlternateContent>
  <xr:revisionPtr revIDLastSave="0" documentId="8_{AE096716-080B-4320-BF99-E4F51FE18E94}" xr6:coauthVersionLast="47" xr6:coauthVersionMax="47" xr10:uidLastSave="{00000000-0000-0000-0000-000000000000}"/>
  <bookViews>
    <workbookView xWindow="-120" yWindow="-120" windowWidth="20640" windowHeight="11040" xr2:uid="{BAA51774-322B-42B1-BD42-9428036B6B65}"/>
  </bookViews>
  <sheets>
    <sheet name="Student Performance" sheetId="1" r:id="rId1"/>
    <sheet name="Employee Performance" sheetId="5" r:id="rId2"/>
    <sheet name="Employee Data" sheetId="2" r:id="rId3"/>
    <sheet name="Sales Analysi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5" l="1"/>
  <c r="K12" i="5"/>
  <c r="K11" i="5"/>
  <c r="K10" i="5"/>
  <c r="K9" i="5"/>
  <c r="K8" i="5"/>
  <c r="K7" i="5"/>
  <c r="K6" i="5"/>
  <c r="K5" i="5"/>
  <c r="K4" i="5"/>
  <c r="P21" i="1"/>
  <c r="P20" i="1"/>
  <c r="P19" i="1"/>
  <c r="P16" i="1"/>
  <c r="P15" i="1"/>
  <c r="P14" i="1"/>
  <c r="P11" i="1"/>
  <c r="P10" i="1"/>
  <c r="P9" i="1"/>
  <c r="E15" i="3"/>
  <c r="E14" i="3"/>
  <c r="E13" i="3"/>
  <c r="E12" i="3"/>
  <c r="F6" i="3"/>
  <c r="F7" i="3"/>
  <c r="F8" i="3"/>
  <c r="F9" i="3"/>
  <c r="F5" i="3"/>
  <c r="E22" i="2"/>
  <c r="E26" i="2"/>
  <c r="E25" i="2"/>
  <c r="E24" i="2"/>
  <c r="E23" i="2"/>
  <c r="F19" i="2"/>
  <c r="H19" i="2"/>
  <c r="I19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4" i="2"/>
  <c r="I4" i="2" s="1"/>
  <c r="M7" i="1"/>
  <c r="M8" i="1"/>
  <c r="M9" i="1"/>
  <c r="M10" i="1"/>
  <c r="M11" i="1"/>
  <c r="M12" i="1"/>
  <c r="M13" i="1"/>
  <c r="M14" i="1"/>
  <c r="M15" i="1"/>
  <c r="M6" i="1"/>
  <c r="L7" i="1"/>
  <c r="L8" i="1"/>
  <c r="L9" i="1"/>
  <c r="L10" i="1"/>
  <c r="L11" i="1"/>
  <c r="L12" i="1"/>
  <c r="L13" i="1"/>
  <c r="L14" i="1"/>
  <c r="L15" i="1"/>
  <c r="L6" i="1"/>
  <c r="K7" i="1"/>
  <c r="K8" i="1"/>
  <c r="K9" i="1"/>
  <c r="K10" i="1"/>
  <c r="K11" i="1"/>
  <c r="K12" i="1"/>
  <c r="K13" i="1"/>
  <c r="K14" i="1"/>
  <c r="K15" i="1"/>
  <c r="K6" i="1"/>
  <c r="J7" i="1"/>
  <c r="J8" i="1"/>
  <c r="J9" i="1"/>
  <c r="J10" i="1"/>
  <c r="J11" i="1"/>
  <c r="J12" i="1"/>
  <c r="J13" i="1"/>
  <c r="J14" i="1"/>
  <c r="J15" i="1"/>
  <c r="J6" i="1"/>
</calcChain>
</file>

<file path=xl/sharedStrings.xml><?xml version="1.0" encoding="utf-8"?>
<sst xmlns="http://schemas.openxmlformats.org/spreadsheetml/2006/main" count="137" uniqueCount="97">
  <si>
    <t>Student ID</t>
  </si>
  <si>
    <t>Name</t>
  </si>
  <si>
    <t>Class</t>
  </si>
  <si>
    <t>Math</t>
  </si>
  <si>
    <t>English</t>
  </si>
  <si>
    <t>Science</t>
  </si>
  <si>
    <t>John</t>
  </si>
  <si>
    <t>Grade 6</t>
  </si>
  <si>
    <t>Mary</t>
  </si>
  <si>
    <t>David</t>
  </si>
  <si>
    <t>Grade 5</t>
  </si>
  <si>
    <t>Sarah</t>
  </si>
  <si>
    <t>James</t>
  </si>
  <si>
    <t>Grace</t>
  </si>
  <si>
    <t>Daniel</t>
  </si>
  <si>
    <t>Ruth</t>
  </si>
  <si>
    <t>Peter</t>
  </si>
  <si>
    <t>Esther</t>
  </si>
  <si>
    <t>Employee ID</t>
  </si>
  <si>
    <t>Department</t>
  </si>
  <si>
    <t>Years of Service</t>
  </si>
  <si>
    <t>John Smith</t>
  </si>
  <si>
    <t>Bukky Wright</t>
  </si>
  <si>
    <t>Emmanuel Segun</t>
  </si>
  <si>
    <t>Opeoluwa Peters</t>
  </si>
  <si>
    <t>Segun Fadimu</t>
  </si>
  <si>
    <t>Tola Ibidapo</t>
  </si>
  <si>
    <t>Dolapo Esse</t>
  </si>
  <si>
    <t>Francis Okeola</t>
  </si>
  <si>
    <t>Kunle Badru</t>
  </si>
  <si>
    <t>Akanbi Faith</t>
  </si>
  <si>
    <t>Joshua Simpson</t>
  </si>
  <si>
    <t>Bright Asemota</t>
  </si>
  <si>
    <t>Tope Young</t>
  </si>
  <si>
    <t>Effiong Calistos</t>
  </si>
  <si>
    <t>Douglas Dare</t>
  </si>
  <si>
    <t>Works</t>
  </si>
  <si>
    <t>Finance</t>
  </si>
  <si>
    <t>Helath</t>
  </si>
  <si>
    <t>Maintainance</t>
  </si>
  <si>
    <t>Education</t>
  </si>
  <si>
    <t>Health</t>
  </si>
  <si>
    <t>Warehouse</t>
  </si>
  <si>
    <t>Salary ($)</t>
  </si>
  <si>
    <t>Total</t>
  </si>
  <si>
    <t>Average</t>
  </si>
  <si>
    <t>Highest Score</t>
  </si>
  <si>
    <t>Lowest Score</t>
  </si>
  <si>
    <t>Annual Salary</t>
  </si>
  <si>
    <t>Bonus</t>
  </si>
  <si>
    <t>Total Payroll</t>
  </si>
  <si>
    <t>Average Salary</t>
  </si>
  <si>
    <t>Highest Salary</t>
  </si>
  <si>
    <t>Lowest Salary</t>
  </si>
  <si>
    <t>Number of Employees</t>
  </si>
  <si>
    <t>S</t>
  </si>
  <si>
    <t>Product</t>
  </si>
  <si>
    <t>Units Sold</t>
  </si>
  <si>
    <t>Unit Price</t>
  </si>
  <si>
    <t>Laptop</t>
  </si>
  <si>
    <t>Mouse</t>
  </si>
  <si>
    <t>Keyboard</t>
  </si>
  <si>
    <t>Monitor</t>
  </si>
  <si>
    <t>Printer</t>
  </si>
  <si>
    <t>Revenue</t>
  </si>
  <si>
    <t>Total Revenue</t>
  </si>
  <si>
    <t>Highest Revenue</t>
  </si>
  <si>
    <t>Lowest Revenue</t>
  </si>
  <si>
    <t>Average Revenue</t>
  </si>
  <si>
    <t>Number of Grade 5</t>
  </si>
  <si>
    <t>Number of Grade 6</t>
  </si>
  <si>
    <t>Above 85 in Math</t>
  </si>
  <si>
    <t>Total Math marks for Grade 5</t>
  </si>
  <si>
    <t>Total Math marks for Grade 6</t>
  </si>
  <si>
    <t>Total Science marks for Grade 5</t>
  </si>
  <si>
    <t>Average Math score for Grade 5</t>
  </si>
  <si>
    <t>Average Math score for Grade 6</t>
  </si>
  <si>
    <t>Average Science score for Grade 6</t>
  </si>
  <si>
    <t>Employee</t>
  </si>
  <si>
    <t>Salary</t>
  </si>
  <si>
    <t>Rating</t>
  </si>
  <si>
    <t>HR</t>
  </si>
  <si>
    <t>IT</t>
  </si>
  <si>
    <t>Number of employees in HR</t>
  </si>
  <si>
    <t>Number of employees in IT</t>
  </si>
  <si>
    <t>Total salary paid to HR</t>
  </si>
  <si>
    <t>Total salary paid to IT</t>
  </si>
  <si>
    <t>Average salary in Finance</t>
  </si>
  <si>
    <t>Average rating in HR</t>
  </si>
  <si>
    <t>Business Insight:</t>
  </si>
  <si>
    <t xml:space="preserve">The department with highest average salary </t>
  </si>
  <si>
    <t>The department with the highest average rating</t>
  </si>
  <si>
    <t>The department with the lowest average  salary</t>
  </si>
  <si>
    <t>average salary in HR</t>
  </si>
  <si>
    <t>average salary in  IT</t>
  </si>
  <si>
    <t>Average rating in IT</t>
  </si>
  <si>
    <t>Average rating in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</si>
</sst>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&quot;$&quot;* #,##0_);_(&quot;$&quot;* \(#,##0\);_(&quot;$&quot;* &quot;-&quot;??_);_(@_)"/>
    <numFmt numFmtId="176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/>
    <xf numFmtId="0" fontId="0" fillId="0" borderId="7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0" fontId="0" fillId="0" borderId="5" xfId="0" applyBorder="1"/>
    <xf numFmtId="165" fontId="0" fillId="0" borderId="6" xfId="0" applyNumberFormat="1" applyBorder="1"/>
    <xf numFmtId="0" fontId="2" fillId="0" borderId="3" xfId="0" applyFon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/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 wrapText="1"/>
    </xf>
    <xf numFmtId="165" fontId="0" fillId="0" borderId="6" xfId="1" applyNumberFormat="1" applyFont="1" applyBorder="1" applyAlignment="1">
      <alignment horizontal="center" vertical="center"/>
    </xf>
    <xf numFmtId="165" fontId="0" fillId="0" borderId="6" xfId="1" applyNumberFormat="1" applyFont="1" applyBorder="1"/>
    <xf numFmtId="165" fontId="0" fillId="0" borderId="9" xfId="1" applyNumberFormat="1" applyFon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right" vertical="center" wrapText="1"/>
    </xf>
    <xf numFmtId="165" fontId="0" fillId="0" borderId="8" xfId="1" applyNumberFormat="1" applyFont="1" applyBorder="1" applyAlignment="1">
      <alignment horizontal="right" vertical="center" wrapText="1"/>
    </xf>
    <xf numFmtId="165" fontId="0" fillId="0" borderId="9" xfId="1" applyNumberFormat="1" applyFont="1" applyBorder="1"/>
  </cellXfs>
  <cellStyles count="2">
    <cellStyle name="Currency" xfId="1" builtinId="4"/>
    <cellStyle name="Normal" xfId="0" builtinId="0"/>
  </cellStyles>
  <dxfs count="80">
    <dxf>
      <numFmt numFmtId="165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&quot;$&quot;* #,##0_);_(&quot;$&quot;* \(#,##0\);_(&quot;$&quot;* &quot;-&quot;??_);_(@_)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&quot;$&quot;* #,##0_);_(&quot;$&quot;* \(#,##0\);_(&quot;$&quot;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&quot;$&quot;* #,##0_);_(&quot;$&quot;* \(#,##0\);_(&quot;$&quot;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12989-31AF-45E6-BC9D-A709E4447D66}" name="Table1" displayName="Table1" ref="D5:M15" totalsRowShown="0" headerRowDxfId="68" dataDxfId="66" headerRowBorderDxfId="67" tableBorderDxfId="65" totalsRowBorderDxfId="64">
  <tableColumns count="10">
    <tableColumn id="1" xr3:uid="{E2911C44-0AAC-40AB-8A55-9A8784413DC0}" name="Student ID" dataDxfId="63"/>
    <tableColumn id="2" xr3:uid="{1C070138-3BAB-4B57-ADF8-06C764C1CADD}" name="Name" dataDxfId="62"/>
    <tableColumn id="3" xr3:uid="{40C3933A-FC27-418D-B14B-0C5CBCFE044C}" name="Class" dataDxfId="61"/>
    <tableColumn id="4" xr3:uid="{EAAAAD63-6782-4833-A035-57DACD7F4A0B}" name="Math" dataDxfId="60"/>
    <tableColumn id="5" xr3:uid="{6C491A58-FC76-4BA2-96CB-2C092E6685F3}" name="English" dataDxfId="59"/>
    <tableColumn id="6" xr3:uid="{D10F9689-CE4C-46FF-BE4F-7245BF267F04}" name="Science" dataDxfId="58"/>
    <tableColumn id="7" xr3:uid="{8E9E879B-562B-4EC7-BA41-2E8D793FAD5B}" name="Total" dataDxfId="57">
      <calculatedColumnFormula>SUM(Table1[[#This Row],[Math]:[Science]])</calculatedColumnFormula>
    </tableColumn>
    <tableColumn id="8" xr3:uid="{A7326A8F-FA30-40F3-BD7A-E9C3241DB0A3}" name="Average" dataDxfId="56">
      <calculatedColumnFormula>AVERAGE(Table1[[#This Row],[Math]:[Science]])</calculatedColumnFormula>
    </tableColumn>
    <tableColumn id="9" xr3:uid="{65AFDC4E-8ED0-4081-9341-F470C890BCD3}" name="Highest Score" dataDxfId="55">
      <calculatedColumnFormula>MAX(Table1[[#This Row],[Math]:[Science]])</calculatedColumnFormula>
    </tableColumn>
    <tableColumn id="10" xr3:uid="{71331696-C701-4CCD-AE2E-9107D7D9BF6D}" name="Lowest Score" dataDxfId="54">
      <calculatedColumnFormula>MIN(Table1[[#This Row],[Math]:[Science]])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12990B-E088-42CB-9E01-9A6ED7EE38F8}" name="Table3" displayName="Table3" ref="O9:P11" headerRowCount="0" totalsRowShown="0" headerRowDxfId="32" tableBorderDxfId="36" totalsRowBorderDxfId="35">
  <tableColumns count="2">
    <tableColumn id="1" xr3:uid="{80F42889-167B-4504-8FCA-371529BCC3C6}" name="Column1" dataDxfId="34"/>
    <tableColumn id="2" xr3:uid="{8D8059E9-2166-4397-8684-A899854B33B7}" name="Column2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F51AF0-FAAA-4DD7-9A21-1DA8BC8620F7}" name="Table4" displayName="Table4" ref="O14:P16" headerRowCount="0" totalsRowShown="0" headerRowDxfId="27" tableBorderDxfId="31" totalsRowBorderDxfId="30">
  <tableColumns count="2">
    <tableColumn id="1" xr3:uid="{7E470468-AF3F-40E1-8252-F8C49537D7C2}" name="Column1" dataDxfId="29"/>
    <tableColumn id="2" xr3:uid="{C5CE7544-F897-4314-9244-2BE7E55E9D29}" name="Column2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C7CA6B-677A-40BE-AB75-6F5D9376F2E2}" name="Table8" displayName="Table8" ref="O19:P21" headerRowCount="0" totalsRowShown="0" headerRowDxfId="22" tableBorderDxfId="26" totalsRowBorderDxfId="25">
  <tableColumns count="2">
    <tableColumn id="1" xr3:uid="{5D8DFDEC-0544-4515-B25B-C9EDC136E82D}" name="Column1" dataDxfId="24"/>
    <tableColumn id="2" xr3:uid="{594FB166-7126-49D5-A066-1F143DFB7A4C}" name="Column2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8E5A67-ED91-4A47-B50C-2330CF73AAB8}" name="Table9" displayName="Table9" ref="B2:E12" totalsRowShown="0" headerRowDxfId="15" dataDxfId="14" headerRowBorderDxfId="18" tableBorderDxfId="19" totalsRowBorderDxfId="17">
  <autoFilter ref="B2:E12" xr:uid="{958E5A67-ED91-4A47-B50C-2330CF73AAB8}">
    <filterColumn colId="0" hiddenButton="1"/>
    <filterColumn colId="1" hiddenButton="1"/>
    <filterColumn colId="2" hiddenButton="1"/>
    <filterColumn colId="3" hiddenButton="1"/>
  </autoFilter>
  <tableColumns count="4">
    <tableColumn id="1" xr3:uid="{401F7FAE-F3BA-45FC-A24F-AE81CE1E7A13}" name="Employee" dataDxfId="16"/>
    <tableColumn id="2" xr3:uid="{36DA2640-7630-4104-BF71-EE39EA442C02}" name="Department" dataDxfId="7"/>
    <tableColumn id="3" xr3:uid="{5BED245C-5232-49D3-B1E6-2907C3D35E3D}" name="Salary" dataDxfId="5" dataCellStyle="Currency"/>
    <tableColumn id="4" xr3:uid="{7288007D-C467-492F-B847-3D67D0CAB577}" name="Rating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BC78044-BEE5-4AD5-A278-8EC6D04C07F9}" name="Table10" displayName="Table10" ref="J4:K13" headerRowCount="0" totalsRowShown="0" headerRowDxfId="9" dataDxfId="8" tableBorderDxfId="13" totalsRowBorderDxfId="12">
  <tableColumns count="2">
    <tableColumn id="1" xr3:uid="{2B3976C4-6368-4059-9D10-564152B6CE1F}" name="Column1" dataDxfId="11"/>
    <tableColumn id="2" xr3:uid="{FAF47574-3173-4343-82FD-37EDC7AE9ED3}" name="Column2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4B3580-170E-422B-92FC-6824E5C5993F}" name="Table2" displayName="Table2" ref="C3:I19" totalsRowShown="0" headerRowDxfId="53" dataDxfId="52">
  <autoFilter ref="C3:I19" xr:uid="{284B3580-170E-422B-92FC-6824E5C5993F}"/>
  <sortState xmlns:xlrd2="http://schemas.microsoft.com/office/spreadsheetml/2017/richdata2" ref="C4:G18">
    <sortCondition descending="1" ref="F3:F18"/>
  </sortState>
  <tableColumns count="7">
    <tableColumn id="1" xr3:uid="{F986F937-6098-4081-92F2-FA0CCF2FE8C1}" name="Employee ID" dataDxfId="51"/>
    <tableColumn id="2" xr3:uid="{011D2B0F-BCB3-4B60-942D-E1C3E0CD9E51}" name="Name" dataDxfId="50"/>
    <tableColumn id="3" xr3:uid="{0CB1B7F5-E40E-4AFF-BBE0-95E81D77E3D8}" name="Department" dataDxfId="49"/>
    <tableColumn id="4" xr3:uid="{8D6BB122-2086-4BB3-851D-570EA9941FC4}" name="Salary ($)" dataDxfId="48" dataCellStyle="Currency"/>
    <tableColumn id="5" xr3:uid="{2135B347-70C3-4BB8-945D-305AA42E91E5}" name="Years of Service" dataDxfId="47"/>
    <tableColumn id="6" xr3:uid="{5D20B53F-E7FF-4DC8-874E-84A63AAAC979}" name="Annual Salary" dataDxfId="46" dataCellStyle="Currency">
      <calculatedColumnFormula>(Table2[[#This Row],[Salary ($)]]*12)</calculatedColumnFormula>
    </tableColumn>
    <tableColumn id="7" xr3:uid="{3CFB3670-7C27-425D-B323-5C8B94CAA552}" name="Bonus" dataDxfId="45" dataCellStyle="Currency">
      <calculatedColumnFormula>0.1*Table2[[#This Row],[Annual Salary]]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4E75C1-33C9-4303-9B05-3DDF7D37071F}" name="Table5" displayName="Table5" ref="D22:E26" headerRowCount="0" totalsRowShown="0" headerRowDxfId="44" headerRowBorderDxfId="43" tableBorderDxfId="42" totalsRowBorderDxfId="41">
  <tableColumns count="2">
    <tableColumn id="1" xr3:uid="{7CFF0C7F-1CD8-4133-BD40-811BDF479BD0}" name="Column1" headerRowDxfId="40" dataDxfId="39"/>
    <tableColumn id="2" xr3:uid="{35EA8552-4A47-4350-848D-454DAB931BE0}" name="Column2" headerRowDxfId="38" dataDxfId="3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0112FD-3ADB-4E6F-B768-A43456712B27}" name="Table6" displayName="Table6" ref="C4:F9" totalsRowShown="0" headerRowDxfId="79" headerRowBorderDxfId="78" tableBorderDxfId="77" totalsRowBorderDxfId="76">
  <autoFilter ref="C4:F9" xr:uid="{C30112FD-3ADB-4E6F-B768-A43456712B27}"/>
  <tableColumns count="4">
    <tableColumn id="1" xr3:uid="{6742E32D-D637-4365-8DD6-0B4960E3A1ED}" name="Product" dataDxfId="75"/>
    <tableColumn id="2" xr3:uid="{B72D37E0-9489-42BB-BE40-9E053C1FC952}" name="Units Sold" dataDxfId="4"/>
    <tableColumn id="3" xr3:uid="{AF248533-016F-4BE1-B886-FB37FAF34CCE}" name="Unit Price" dataDxfId="2" dataCellStyle="Currency"/>
    <tableColumn id="4" xr3:uid="{5BBA63B5-EB50-4396-9E39-2319B5A711BD}" name="Revenue" dataDxfId="3" dataCellStyle="Currency">
      <calculatedColumnFormula>PRODUCT(Table6[[#This Row],[Units Sold]:[Unit Price]])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87681F-8974-40E9-B013-5D9AAE7E960E}" name="Table7" displayName="Table7" ref="D12:E15" headerRowCount="0" totalsRowShown="0" headerRowDxfId="74" headerRowBorderDxfId="73" tableBorderDxfId="72" totalsRowBorderDxfId="71">
  <tableColumns count="2">
    <tableColumn id="1" xr3:uid="{E6620D73-456A-4B6E-B462-BC521305F0DB}" name="Column1" headerRowDxfId="70" dataDxfId="1"/>
    <tableColumn id="2" xr3:uid="{632B9040-5E37-4CE5-964B-C296F9C185C8}" name="Column2" headerRowDxfId="69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9F85-B0E8-4381-B09D-208F58D46C6D}">
  <dimension ref="D5:P21"/>
  <sheetViews>
    <sheetView tabSelected="1" topLeftCell="A5" workbookViewId="0">
      <selection activeCell="E17" sqref="E17"/>
    </sheetView>
  </sheetViews>
  <sheetFormatPr defaultRowHeight="15" x14ac:dyDescent="0.25"/>
  <cols>
    <col min="4" max="4" width="15.140625" bestFit="1" customWidth="1"/>
    <col min="5" max="5" width="10.85546875" bestFit="1" customWidth="1"/>
    <col min="6" max="6" width="10.5703125" bestFit="1" customWidth="1"/>
    <col min="7" max="7" width="10" bestFit="1" customWidth="1"/>
    <col min="8" max="8" width="12.140625" bestFit="1" customWidth="1"/>
    <col min="9" max="9" width="12.7109375" bestFit="1" customWidth="1"/>
    <col min="11" max="11" width="11.5703125" bestFit="1" customWidth="1"/>
    <col min="12" max="12" width="8" bestFit="1" customWidth="1"/>
    <col min="15" max="15" width="29.140625" bestFit="1" customWidth="1"/>
    <col min="16" max="16" width="11.28515625" customWidth="1"/>
  </cols>
  <sheetData>
    <row r="5" spans="4:16" ht="30" x14ac:dyDescent="0.25">
      <c r="D5" s="1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3" t="s">
        <v>5</v>
      </c>
      <c r="J5" s="2" t="s">
        <v>44</v>
      </c>
      <c r="K5" s="2" t="s">
        <v>45</v>
      </c>
      <c r="L5" s="2" t="s">
        <v>46</v>
      </c>
      <c r="M5" s="2" t="s">
        <v>47</v>
      </c>
    </row>
    <row r="6" spans="4:16" x14ac:dyDescent="0.25">
      <c r="D6" s="4">
        <v>1001</v>
      </c>
      <c r="E6" s="5" t="s">
        <v>6</v>
      </c>
      <c r="F6" s="5" t="s">
        <v>7</v>
      </c>
      <c r="G6" s="5">
        <v>85</v>
      </c>
      <c r="H6" s="5">
        <v>78</v>
      </c>
      <c r="I6" s="6">
        <v>90</v>
      </c>
      <c r="J6" s="15">
        <f>SUM(Table1[[#This Row],[Math]:[Science]])</f>
        <v>253</v>
      </c>
      <c r="K6" s="16">
        <f>AVERAGE(Table1[[#This Row],[Math]:[Science]])</f>
        <v>84.333333333333329</v>
      </c>
      <c r="L6" s="5">
        <f>MAX(Table1[[#This Row],[Math]:[Science]])</f>
        <v>90</v>
      </c>
      <c r="M6" s="5">
        <f>MIN(Table1[[#This Row],[Math]:[Science]])</f>
        <v>78</v>
      </c>
    </row>
    <row r="7" spans="4:16" x14ac:dyDescent="0.25">
      <c r="D7" s="4">
        <v>1002</v>
      </c>
      <c r="E7" s="5" t="s">
        <v>8</v>
      </c>
      <c r="F7" s="5" t="s">
        <v>7</v>
      </c>
      <c r="G7" s="5">
        <v>72</v>
      </c>
      <c r="H7" s="5">
        <v>91</v>
      </c>
      <c r="I7" s="6">
        <v>88</v>
      </c>
      <c r="J7" s="15">
        <f>SUM(Table1[[#This Row],[Math]:[Science]])</f>
        <v>251</v>
      </c>
      <c r="K7" s="16">
        <f>AVERAGE(Table1[[#This Row],[Math]:[Science]])</f>
        <v>83.666666666666671</v>
      </c>
      <c r="L7" s="5">
        <f>MAX(Table1[[#This Row],[Math]:[Science]])</f>
        <v>91</v>
      </c>
      <c r="M7" s="5">
        <f>MIN(Table1[[#This Row],[Math]:[Science]])</f>
        <v>72</v>
      </c>
    </row>
    <row r="8" spans="4:16" x14ac:dyDescent="0.25">
      <c r="D8" s="4">
        <v>1003</v>
      </c>
      <c r="E8" s="5" t="s">
        <v>9</v>
      </c>
      <c r="F8" s="5" t="s">
        <v>10</v>
      </c>
      <c r="G8" s="5">
        <v>95</v>
      </c>
      <c r="H8" s="5">
        <v>82</v>
      </c>
      <c r="I8" s="6">
        <v>87</v>
      </c>
      <c r="J8" s="15">
        <f>SUM(Table1[[#This Row],[Math]:[Science]])</f>
        <v>264</v>
      </c>
      <c r="K8" s="16">
        <f>AVERAGE(Table1[[#This Row],[Math]:[Science]])</f>
        <v>88</v>
      </c>
      <c r="L8" s="5">
        <f>MAX(Table1[[#This Row],[Math]:[Science]])</f>
        <v>95</v>
      </c>
      <c r="M8" s="5">
        <f>MIN(Table1[[#This Row],[Math]:[Science]])</f>
        <v>82</v>
      </c>
    </row>
    <row r="9" spans="4:16" x14ac:dyDescent="0.25">
      <c r="D9" s="4">
        <v>1004</v>
      </c>
      <c r="E9" s="5" t="s">
        <v>11</v>
      </c>
      <c r="F9" s="5" t="s">
        <v>10</v>
      </c>
      <c r="G9" s="5">
        <v>80</v>
      </c>
      <c r="H9" s="5">
        <v>84</v>
      </c>
      <c r="I9" s="6">
        <v>76</v>
      </c>
      <c r="J9" s="15">
        <f>SUM(Table1[[#This Row],[Math]:[Science]])</f>
        <v>240</v>
      </c>
      <c r="K9" s="16">
        <f>AVERAGE(Table1[[#This Row],[Math]:[Science]])</f>
        <v>80</v>
      </c>
      <c r="L9" s="5">
        <f>MAX(Table1[[#This Row],[Math]:[Science]])</f>
        <v>84</v>
      </c>
      <c r="M9" s="5">
        <f>MIN(Table1[[#This Row],[Math]:[Science]])</f>
        <v>76</v>
      </c>
      <c r="O9" s="26" t="s">
        <v>69</v>
      </c>
      <c r="P9" s="12">
        <f>COUNTIF(Table1[Class], "Grade 5")</f>
        <v>5</v>
      </c>
    </row>
    <row r="10" spans="4:16" x14ac:dyDescent="0.25">
      <c r="D10" s="4">
        <v>1005</v>
      </c>
      <c r="E10" s="5" t="s">
        <v>12</v>
      </c>
      <c r="F10" s="5" t="s">
        <v>7</v>
      </c>
      <c r="G10" s="5">
        <v>68</v>
      </c>
      <c r="H10" s="5">
        <v>75</v>
      </c>
      <c r="I10" s="6">
        <v>81</v>
      </c>
      <c r="J10" s="15">
        <f>SUM(Table1[[#This Row],[Math]:[Science]])</f>
        <v>224</v>
      </c>
      <c r="K10" s="16">
        <f>AVERAGE(Table1[[#This Row],[Math]:[Science]])</f>
        <v>74.666666666666671</v>
      </c>
      <c r="L10" s="5">
        <f>MAX(Table1[[#This Row],[Math]:[Science]])</f>
        <v>81</v>
      </c>
      <c r="M10" s="5">
        <f>MIN(Table1[[#This Row],[Math]:[Science]])</f>
        <v>68</v>
      </c>
      <c r="O10" s="18" t="s">
        <v>70</v>
      </c>
      <c r="P10" s="23">
        <f>COUNTIF(Table1[[#All],[Class]], "Grade 6")</f>
        <v>5</v>
      </c>
    </row>
    <row r="11" spans="4:16" x14ac:dyDescent="0.25">
      <c r="D11" s="4">
        <v>1006</v>
      </c>
      <c r="E11" s="5" t="s">
        <v>13</v>
      </c>
      <c r="F11" s="5" t="s">
        <v>10</v>
      </c>
      <c r="G11" s="5">
        <v>90</v>
      </c>
      <c r="H11" s="5">
        <v>93</v>
      </c>
      <c r="I11" s="6">
        <v>95</v>
      </c>
      <c r="J11" s="15">
        <f>SUM(Table1[[#This Row],[Math]:[Science]])</f>
        <v>278</v>
      </c>
      <c r="K11" s="16">
        <f>AVERAGE(Table1[[#This Row],[Math]:[Science]])</f>
        <v>92.666666666666671</v>
      </c>
      <c r="L11" s="5">
        <f>MAX(Table1[[#This Row],[Math]:[Science]])</f>
        <v>95</v>
      </c>
      <c r="M11" s="5">
        <f>MIN(Table1[[#This Row],[Math]:[Science]])</f>
        <v>90</v>
      </c>
      <c r="O11" s="11" t="s">
        <v>71</v>
      </c>
      <c r="P11" s="10">
        <f>COUNTIF(Table1[Math], "&gt;85")</f>
        <v>4</v>
      </c>
    </row>
    <row r="12" spans="4:16" x14ac:dyDescent="0.25">
      <c r="D12" s="4">
        <v>1007</v>
      </c>
      <c r="E12" s="5" t="s">
        <v>14</v>
      </c>
      <c r="F12" s="5" t="s">
        <v>7</v>
      </c>
      <c r="G12" s="5">
        <v>77</v>
      </c>
      <c r="H12" s="5">
        <v>86</v>
      </c>
      <c r="I12" s="6">
        <v>80</v>
      </c>
      <c r="J12" s="15">
        <f>SUM(Table1[[#This Row],[Math]:[Science]])</f>
        <v>243</v>
      </c>
      <c r="K12" s="16">
        <f>AVERAGE(Table1[[#This Row],[Math]:[Science]])</f>
        <v>81</v>
      </c>
      <c r="L12" s="5">
        <f>MAX(Table1[[#This Row],[Math]:[Science]])</f>
        <v>86</v>
      </c>
      <c r="M12" s="5">
        <f>MIN(Table1[[#This Row],[Math]:[Science]])</f>
        <v>77</v>
      </c>
    </row>
    <row r="13" spans="4:16" x14ac:dyDescent="0.25">
      <c r="D13" s="4">
        <v>1008</v>
      </c>
      <c r="E13" s="5" t="s">
        <v>15</v>
      </c>
      <c r="F13" s="5" t="s">
        <v>10</v>
      </c>
      <c r="G13" s="5">
        <v>88</v>
      </c>
      <c r="H13" s="5">
        <v>89</v>
      </c>
      <c r="I13" s="6">
        <v>92</v>
      </c>
      <c r="J13" s="15">
        <f>SUM(Table1[[#This Row],[Math]:[Science]])</f>
        <v>269</v>
      </c>
      <c r="K13" s="16">
        <f>AVERAGE(Table1[[#This Row],[Math]:[Science]])</f>
        <v>89.666666666666671</v>
      </c>
      <c r="L13" s="5">
        <f>MAX(Table1[[#This Row],[Math]:[Science]])</f>
        <v>92</v>
      </c>
      <c r="M13" s="5">
        <f>MIN(Table1[[#This Row],[Math]:[Science]])</f>
        <v>88</v>
      </c>
    </row>
    <row r="14" spans="4:16" x14ac:dyDescent="0.25">
      <c r="D14" s="4">
        <v>1009</v>
      </c>
      <c r="E14" s="5" t="s">
        <v>16</v>
      </c>
      <c r="F14" s="5" t="s">
        <v>7</v>
      </c>
      <c r="G14" s="5">
        <v>83</v>
      </c>
      <c r="H14" s="5">
        <v>79</v>
      </c>
      <c r="I14" s="6">
        <v>84</v>
      </c>
      <c r="J14" s="15">
        <f>SUM(Table1[[#This Row],[Math]:[Science]])</f>
        <v>246</v>
      </c>
      <c r="K14" s="16">
        <f>AVERAGE(Table1[[#This Row],[Math]:[Science]])</f>
        <v>82</v>
      </c>
      <c r="L14" s="5">
        <f>MAX(Table1[[#This Row],[Math]:[Science]])</f>
        <v>84</v>
      </c>
      <c r="M14" s="5">
        <f>MIN(Table1[[#This Row],[Math]:[Science]])</f>
        <v>79</v>
      </c>
      <c r="O14" s="26" t="s">
        <v>72</v>
      </c>
      <c r="P14" s="12">
        <f>SUMIF(Table1[Class], "Grade 5", Table1[Math])</f>
        <v>444</v>
      </c>
    </row>
    <row r="15" spans="4:16" x14ac:dyDescent="0.25">
      <c r="D15" s="7">
        <v>1010</v>
      </c>
      <c r="E15" s="8" t="s">
        <v>17</v>
      </c>
      <c r="F15" s="8" t="s">
        <v>10</v>
      </c>
      <c r="G15" s="8">
        <v>91</v>
      </c>
      <c r="H15" s="8">
        <v>87</v>
      </c>
      <c r="I15" s="9">
        <v>90</v>
      </c>
      <c r="J15" s="15">
        <f>SUM(Table1[[#This Row],[Math]:[Science]])</f>
        <v>268</v>
      </c>
      <c r="K15" s="16">
        <f>AVERAGE(Table1[[#This Row],[Math]:[Science]])</f>
        <v>89.333333333333329</v>
      </c>
      <c r="L15" s="5">
        <f>MAX(Table1[[#This Row],[Math]:[Science]])</f>
        <v>91</v>
      </c>
      <c r="M15" s="5">
        <f>MIN(Table1[[#This Row],[Math]:[Science]])</f>
        <v>87</v>
      </c>
      <c r="O15" s="18" t="s">
        <v>73</v>
      </c>
      <c r="P15" s="23">
        <f>SUMIF(Table1[Class], "Grade 6", Table1[Math])</f>
        <v>385</v>
      </c>
    </row>
    <row r="16" spans="4:16" x14ac:dyDescent="0.25">
      <c r="O16" s="11" t="s">
        <v>74</v>
      </c>
      <c r="P16" s="10">
        <f>SUMIF(Table1[Class], "Grade 5", Table1[Science])</f>
        <v>440</v>
      </c>
    </row>
    <row r="19" spans="15:16" x14ac:dyDescent="0.25">
      <c r="O19" s="26" t="s">
        <v>75</v>
      </c>
      <c r="P19" s="12">
        <f>AVERAGEIF(Table1[Class], "Grade 5", Table1[Math])</f>
        <v>88.8</v>
      </c>
    </row>
    <row r="20" spans="15:16" x14ac:dyDescent="0.25">
      <c r="O20" s="18" t="s">
        <v>76</v>
      </c>
      <c r="P20" s="23">
        <f>AVERAGEIF(Table1[Class], "Grade 6", Table1[Math])</f>
        <v>77</v>
      </c>
    </row>
    <row r="21" spans="15:16" x14ac:dyDescent="0.25">
      <c r="O21" s="11" t="s">
        <v>77</v>
      </c>
      <c r="P21" s="10">
        <f>AVERAGEIF(Table1[Class], "Grade 6", Table1[Science])</f>
        <v>84.6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FDA0-189E-4D6B-BA32-3E8E25AC8CFA}">
  <dimension ref="B2:N13"/>
  <sheetViews>
    <sheetView workbookViewId="0">
      <selection activeCell="B2" sqref="B2:E12"/>
    </sheetView>
  </sheetViews>
  <sheetFormatPr defaultRowHeight="15" x14ac:dyDescent="0.25"/>
  <cols>
    <col min="2" max="2" width="12.140625" customWidth="1"/>
    <col min="3" max="3" width="14" customWidth="1"/>
    <col min="4" max="4" width="10" bestFit="1" customWidth="1"/>
    <col min="10" max="10" width="42.85546875" bestFit="1" customWidth="1"/>
    <col min="11" max="11" width="11.28515625" customWidth="1"/>
    <col min="13" max="13" width="42.85546875" bestFit="1" customWidth="1"/>
    <col min="14" max="14" width="12.7109375" customWidth="1"/>
  </cols>
  <sheetData>
    <row r="2" spans="2:14" x14ac:dyDescent="0.25">
      <c r="B2" s="1" t="s">
        <v>78</v>
      </c>
      <c r="C2" s="2" t="s">
        <v>19</v>
      </c>
      <c r="D2" s="2" t="s">
        <v>79</v>
      </c>
      <c r="E2" s="3" t="s">
        <v>80</v>
      </c>
    </row>
    <row r="3" spans="2:14" x14ac:dyDescent="0.25">
      <c r="B3" s="4" t="s">
        <v>6</v>
      </c>
      <c r="C3" s="5" t="s">
        <v>81</v>
      </c>
      <c r="D3" s="33">
        <v>5500</v>
      </c>
      <c r="E3" s="6">
        <v>4</v>
      </c>
    </row>
    <row r="4" spans="2:14" x14ac:dyDescent="0.25">
      <c r="B4" s="4" t="s">
        <v>8</v>
      </c>
      <c r="C4" s="5" t="s">
        <v>82</v>
      </c>
      <c r="D4" s="33">
        <v>8000</v>
      </c>
      <c r="E4" s="6">
        <v>5</v>
      </c>
      <c r="J4" s="27" t="s">
        <v>83</v>
      </c>
      <c r="K4" s="28">
        <f>COUNTIF(Table9[Department], "HR")</f>
        <v>4</v>
      </c>
      <c r="M4" s="39" t="s">
        <v>89</v>
      </c>
      <c r="N4" s="39"/>
    </row>
    <row r="5" spans="2:14" x14ac:dyDescent="0.25">
      <c r="B5" s="4" t="s">
        <v>9</v>
      </c>
      <c r="C5" s="5" t="s">
        <v>37</v>
      </c>
      <c r="D5" s="33">
        <v>7000</v>
      </c>
      <c r="E5" s="6">
        <v>3</v>
      </c>
      <c r="J5" s="29" t="s">
        <v>84</v>
      </c>
      <c r="K5" s="30">
        <f>COUNTIF(Table9[Department], "IT")</f>
        <v>3</v>
      </c>
      <c r="M5" s="39" t="s">
        <v>90</v>
      </c>
      <c r="N5" s="39" t="s">
        <v>82</v>
      </c>
    </row>
    <row r="6" spans="2:14" x14ac:dyDescent="0.25">
      <c r="B6" s="4" t="s">
        <v>11</v>
      </c>
      <c r="C6" s="5" t="s">
        <v>81</v>
      </c>
      <c r="D6" s="33">
        <v>6000</v>
      </c>
      <c r="E6" s="6">
        <v>4</v>
      </c>
      <c r="J6" s="29" t="s">
        <v>85</v>
      </c>
      <c r="K6" s="35">
        <f>SUMIF(Table9[Department], "HR", Table9[Salary])</f>
        <v>23400</v>
      </c>
      <c r="M6" s="39" t="s">
        <v>91</v>
      </c>
      <c r="N6" s="39" t="s">
        <v>82</v>
      </c>
    </row>
    <row r="7" spans="2:14" x14ac:dyDescent="0.25">
      <c r="B7" s="4" t="s">
        <v>12</v>
      </c>
      <c r="C7" s="5" t="s">
        <v>82</v>
      </c>
      <c r="D7" s="33">
        <v>9000</v>
      </c>
      <c r="E7" s="6">
        <v>5</v>
      </c>
      <c r="J7" s="29" t="s">
        <v>86</v>
      </c>
      <c r="K7" s="35">
        <f>SUMIF(Table9[Department], "IT", Table9[Salary])</f>
        <v>25500</v>
      </c>
      <c r="M7" s="39" t="s">
        <v>92</v>
      </c>
      <c r="N7" s="39" t="s">
        <v>81</v>
      </c>
    </row>
    <row r="8" spans="2:14" x14ac:dyDescent="0.25">
      <c r="B8" s="4" t="s">
        <v>13</v>
      </c>
      <c r="C8" s="5" t="s">
        <v>37</v>
      </c>
      <c r="D8" s="33">
        <v>7500</v>
      </c>
      <c r="E8" s="6">
        <v>4</v>
      </c>
      <c r="J8" s="29" t="s">
        <v>87</v>
      </c>
      <c r="K8" s="35">
        <f>AVERAGEIF(Table9[Department], "Finance", Table9[Salary])</f>
        <v>7233.333333333333</v>
      </c>
    </row>
    <row r="9" spans="2:14" x14ac:dyDescent="0.25">
      <c r="B9" s="4" t="s">
        <v>16</v>
      </c>
      <c r="C9" s="5" t="s">
        <v>81</v>
      </c>
      <c r="D9" s="33">
        <v>5800</v>
      </c>
      <c r="E9" s="6">
        <v>3</v>
      </c>
      <c r="J9" s="31" t="s">
        <v>88</v>
      </c>
      <c r="K9" s="32">
        <f>AVERAGEIF(Table9[Department], "HR", Table9[Rating])</f>
        <v>4</v>
      </c>
    </row>
    <row r="10" spans="2:14" x14ac:dyDescent="0.25">
      <c r="B10" s="4" t="s">
        <v>15</v>
      </c>
      <c r="C10" s="5" t="s">
        <v>82</v>
      </c>
      <c r="D10" s="33">
        <v>8500</v>
      </c>
      <c r="E10" s="6">
        <v>5</v>
      </c>
      <c r="J10" s="29" t="s">
        <v>93</v>
      </c>
      <c r="K10" s="35">
        <f>AVERAGEIF(Table9[Department], "HR", Table9[Salary])</f>
        <v>5850</v>
      </c>
    </row>
    <row r="11" spans="2:14" x14ac:dyDescent="0.25">
      <c r="B11" s="4" t="s">
        <v>14</v>
      </c>
      <c r="C11" s="5" t="s">
        <v>37</v>
      </c>
      <c r="D11" s="33">
        <v>7200</v>
      </c>
      <c r="E11" s="6">
        <v>4</v>
      </c>
      <c r="J11" s="31" t="s">
        <v>94</v>
      </c>
      <c r="K11" s="37">
        <f>AVERAGEIF(Table9[Department], "IT", Table9[Salary])</f>
        <v>8500</v>
      </c>
    </row>
    <row r="12" spans="2:14" x14ac:dyDescent="0.25">
      <c r="B12" s="7" t="s">
        <v>17</v>
      </c>
      <c r="C12" s="8" t="s">
        <v>81</v>
      </c>
      <c r="D12" s="34">
        <v>6100</v>
      </c>
      <c r="E12" s="9">
        <v>5</v>
      </c>
      <c r="J12" s="31" t="s">
        <v>95</v>
      </c>
      <c r="K12" s="32">
        <f>AVERAGEIF(Table9[Department], "IT", Table9[Rating])</f>
        <v>5</v>
      </c>
    </row>
    <row r="13" spans="2:14" x14ac:dyDescent="0.25">
      <c r="J13" s="31" t="s">
        <v>96</v>
      </c>
      <c r="K13" s="38">
        <f>AVERAGEIF(Table9[Department], "Finance", Table9[Rating])</f>
        <v>3.6666666666666665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D6C3-56AD-4A31-8489-5AB855999681}">
  <dimension ref="C3:I26"/>
  <sheetViews>
    <sheetView topLeftCell="A12" workbookViewId="0">
      <selection activeCell="F22" sqref="F22"/>
    </sheetView>
  </sheetViews>
  <sheetFormatPr defaultRowHeight="15" x14ac:dyDescent="0.25"/>
  <cols>
    <col min="3" max="3" width="17" bestFit="1" customWidth="1"/>
    <col min="4" max="4" width="20.42578125" bestFit="1" customWidth="1"/>
    <col min="5" max="5" width="16.42578125" bestFit="1" customWidth="1"/>
    <col min="6" max="6" width="15.28515625" bestFit="1" customWidth="1"/>
    <col min="7" max="7" width="20.140625" bestFit="1" customWidth="1"/>
    <col min="8" max="8" width="17.7109375" bestFit="1" customWidth="1"/>
    <col min="9" max="9" width="11.140625" bestFit="1" customWidth="1"/>
  </cols>
  <sheetData>
    <row r="3" spans="3:9" x14ac:dyDescent="0.25">
      <c r="C3" s="13" t="s">
        <v>18</v>
      </c>
      <c r="D3" s="13" t="s">
        <v>1</v>
      </c>
      <c r="E3" s="13" t="s">
        <v>19</v>
      </c>
      <c r="F3" s="14" t="s">
        <v>43</v>
      </c>
      <c r="G3" s="13" t="s">
        <v>20</v>
      </c>
      <c r="H3" s="13" t="s">
        <v>48</v>
      </c>
      <c r="I3" s="13" t="s">
        <v>49</v>
      </c>
    </row>
    <row r="4" spans="3:9" x14ac:dyDescent="0.25">
      <c r="C4" s="13">
        <v>13</v>
      </c>
      <c r="D4" s="13" t="s">
        <v>22</v>
      </c>
      <c r="E4" s="13" t="s">
        <v>42</v>
      </c>
      <c r="F4" s="17">
        <v>38000</v>
      </c>
      <c r="G4" s="13">
        <v>11</v>
      </c>
      <c r="H4" s="17">
        <f>(Table2[[#This Row],[Salary ($)]]*12)</f>
        <v>456000</v>
      </c>
      <c r="I4" s="17">
        <f>0.1*Table2[[#This Row],[Annual Salary]]</f>
        <v>45600</v>
      </c>
    </row>
    <row r="5" spans="3:9" x14ac:dyDescent="0.25">
      <c r="C5" s="13">
        <v>5</v>
      </c>
      <c r="D5" s="13" t="s">
        <v>29</v>
      </c>
      <c r="E5" s="13" t="s">
        <v>36</v>
      </c>
      <c r="F5" s="17">
        <v>34000</v>
      </c>
      <c r="G5" s="13">
        <v>7</v>
      </c>
      <c r="H5" s="17">
        <f>(Table2[[#This Row],[Salary ($)]]*12)</f>
        <v>408000</v>
      </c>
      <c r="I5" s="17">
        <f>0.1*Table2[[#This Row],[Annual Salary]]</f>
        <v>40800</v>
      </c>
    </row>
    <row r="6" spans="3:9" x14ac:dyDescent="0.25">
      <c r="C6" s="13">
        <v>9</v>
      </c>
      <c r="D6" s="13" t="s">
        <v>33</v>
      </c>
      <c r="E6" s="13" t="s">
        <v>41</v>
      </c>
      <c r="F6" s="17">
        <v>30000</v>
      </c>
      <c r="G6" s="13">
        <v>8</v>
      </c>
      <c r="H6" s="17">
        <f>(Table2[[#This Row],[Salary ($)]]*12)</f>
        <v>360000</v>
      </c>
      <c r="I6" s="17">
        <f>0.1*Table2[[#This Row],[Annual Salary]]</f>
        <v>36000</v>
      </c>
    </row>
    <row r="7" spans="3:9" x14ac:dyDescent="0.25">
      <c r="C7" s="13">
        <v>10</v>
      </c>
      <c r="D7" s="13" t="s">
        <v>34</v>
      </c>
      <c r="E7" s="13" t="s">
        <v>41</v>
      </c>
      <c r="F7" s="17">
        <v>30000</v>
      </c>
      <c r="G7" s="13">
        <v>6</v>
      </c>
      <c r="H7" s="17">
        <f>(Table2[[#This Row],[Salary ($)]]*12)</f>
        <v>360000</v>
      </c>
      <c r="I7" s="17">
        <f>0.1*Table2[[#This Row],[Annual Salary]]</f>
        <v>36000</v>
      </c>
    </row>
    <row r="8" spans="3:9" x14ac:dyDescent="0.25">
      <c r="C8" s="13">
        <v>12</v>
      </c>
      <c r="D8" s="13" t="s">
        <v>21</v>
      </c>
      <c r="E8" s="13" t="s">
        <v>37</v>
      </c>
      <c r="F8" s="17">
        <v>27000</v>
      </c>
      <c r="G8" s="13">
        <v>9</v>
      </c>
      <c r="H8" s="17">
        <f>(Table2[[#This Row],[Salary ($)]]*12)</f>
        <v>324000</v>
      </c>
      <c r="I8" s="17">
        <f>0.1*Table2[[#This Row],[Annual Salary]]</f>
        <v>32400</v>
      </c>
    </row>
    <row r="9" spans="3:9" x14ac:dyDescent="0.25">
      <c r="C9" s="13">
        <v>4</v>
      </c>
      <c r="D9" s="13" t="s">
        <v>28</v>
      </c>
      <c r="E9" s="13" t="s">
        <v>39</v>
      </c>
      <c r="F9" s="17">
        <v>25000</v>
      </c>
      <c r="G9" s="13">
        <v>6</v>
      </c>
      <c r="H9" s="17">
        <f>(Table2[[#This Row],[Salary ($)]]*12)</f>
        <v>300000</v>
      </c>
      <c r="I9" s="17">
        <f>0.1*Table2[[#This Row],[Annual Salary]]</f>
        <v>30000</v>
      </c>
    </row>
    <row r="10" spans="3:9" x14ac:dyDescent="0.25">
      <c r="C10" s="13">
        <v>8</v>
      </c>
      <c r="D10" s="13" t="s">
        <v>32</v>
      </c>
      <c r="E10" s="13" t="s">
        <v>39</v>
      </c>
      <c r="F10" s="17">
        <v>25000</v>
      </c>
      <c r="G10" s="13">
        <v>6</v>
      </c>
      <c r="H10" s="17">
        <f>(Table2[[#This Row],[Salary ($)]]*12)</f>
        <v>300000</v>
      </c>
      <c r="I10" s="17">
        <f>0.1*Table2[[#This Row],[Annual Salary]]</f>
        <v>30000</v>
      </c>
    </row>
    <row r="11" spans="3:9" x14ac:dyDescent="0.25">
      <c r="C11" s="13">
        <v>11</v>
      </c>
      <c r="D11" s="13" t="s">
        <v>35</v>
      </c>
      <c r="E11" s="13" t="s">
        <v>41</v>
      </c>
      <c r="F11" s="17">
        <v>18000</v>
      </c>
      <c r="G11" s="13">
        <v>8</v>
      </c>
      <c r="H11" s="17">
        <f>(Table2[[#This Row],[Salary ($)]]*12)</f>
        <v>216000</v>
      </c>
      <c r="I11" s="17">
        <f>0.1*Table2[[#This Row],[Annual Salary]]</f>
        <v>21600</v>
      </c>
    </row>
    <row r="12" spans="3:9" x14ac:dyDescent="0.25">
      <c r="C12" s="13">
        <v>7</v>
      </c>
      <c r="D12" s="13" t="s">
        <v>31</v>
      </c>
      <c r="E12" s="13" t="s">
        <v>40</v>
      </c>
      <c r="F12" s="17">
        <v>15000</v>
      </c>
      <c r="G12" s="13">
        <v>4</v>
      </c>
      <c r="H12" s="17">
        <f>(Table2[[#This Row],[Salary ($)]]*12)</f>
        <v>180000</v>
      </c>
      <c r="I12" s="17">
        <f>0.1*Table2[[#This Row],[Annual Salary]]</f>
        <v>18000</v>
      </c>
    </row>
    <row r="13" spans="3:9" x14ac:dyDescent="0.25">
      <c r="C13" s="13">
        <v>14</v>
      </c>
      <c r="D13" s="13" t="s">
        <v>23</v>
      </c>
      <c r="E13" s="13" t="s">
        <v>42</v>
      </c>
      <c r="F13" s="17">
        <v>11000</v>
      </c>
      <c r="G13" s="13">
        <v>23</v>
      </c>
      <c r="H13" s="17">
        <f>(Table2[[#This Row],[Salary ($)]]*12)</f>
        <v>132000</v>
      </c>
      <c r="I13" s="17">
        <f>0.1*Table2[[#This Row],[Annual Salary]]</f>
        <v>13200</v>
      </c>
    </row>
    <row r="14" spans="3:9" x14ac:dyDescent="0.25">
      <c r="C14" s="13">
        <v>15</v>
      </c>
      <c r="D14" s="13" t="s">
        <v>24</v>
      </c>
      <c r="E14" s="13" t="s">
        <v>37</v>
      </c>
      <c r="F14" s="17">
        <v>10400</v>
      </c>
      <c r="G14" s="13">
        <v>14</v>
      </c>
      <c r="H14" s="17">
        <f>(Table2[[#This Row],[Salary ($)]]*12)</f>
        <v>124800</v>
      </c>
      <c r="I14" s="17">
        <f>0.1*Table2[[#This Row],[Annual Salary]]</f>
        <v>12480</v>
      </c>
    </row>
    <row r="15" spans="3:9" x14ac:dyDescent="0.25">
      <c r="C15" s="13">
        <v>1</v>
      </c>
      <c r="D15" s="13" t="s">
        <v>25</v>
      </c>
      <c r="E15" s="13" t="s">
        <v>36</v>
      </c>
      <c r="F15" s="17">
        <v>5000</v>
      </c>
      <c r="G15" s="13">
        <v>2</v>
      </c>
      <c r="H15" s="17">
        <f>(Table2[[#This Row],[Salary ($)]]*12)</f>
        <v>60000</v>
      </c>
      <c r="I15" s="17">
        <f>0.1*Table2[[#This Row],[Annual Salary]]</f>
        <v>6000</v>
      </c>
    </row>
    <row r="16" spans="3:9" x14ac:dyDescent="0.25">
      <c r="C16" s="13">
        <v>6</v>
      </c>
      <c r="D16" s="13" t="s">
        <v>30</v>
      </c>
      <c r="E16" s="13" t="s">
        <v>36</v>
      </c>
      <c r="F16" s="17">
        <v>4800</v>
      </c>
      <c r="G16" s="13">
        <v>2</v>
      </c>
      <c r="H16" s="17">
        <f>(Table2[[#This Row],[Salary ($)]]*12)</f>
        <v>57600</v>
      </c>
      <c r="I16" s="17">
        <f>0.1*Table2[[#This Row],[Annual Salary]]</f>
        <v>5760</v>
      </c>
    </row>
    <row r="17" spans="3:9" x14ac:dyDescent="0.25">
      <c r="C17" s="13">
        <v>2</v>
      </c>
      <c r="D17" s="13" t="s">
        <v>26</v>
      </c>
      <c r="E17" s="13" t="s">
        <v>37</v>
      </c>
      <c r="F17" s="17">
        <v>4500</v>
      </c>
      <c r="G17" s="13">
        <v>3</v>
      </c>
      <c r="H17" s="17">
        <f>(Table2[[#This Row],[Salary ($)]]*12)</f>
        <v>54000</v>
      </c>
      <c r="I17" s="17">
        <f>0.1*Table2[[#This Row],[Annual Salary]]</f>
        <v>5400</v>
      </c>
    </row>
    <row r="18" spans="3:9" x14ac:dyDescent="0.25">
      <c r="C18" s="13">
        <v>3</v>
      </c>
      <c r="D18" s="13" t="s">
        <v>27</v>
      </c>
      <c r="E18" s="13" t="s">
        <v>38</v>
      </c>
      <c r="F18" s="17">
        <v>4000</v>
      </c>
      <c r="G18" s="13">
        <v>1</v>
      </c>
      <c r="H18" s="17">
        <f>(Table2[[#This Row],[Salary ($)]]*12)</f>
        <v>48000</v>
      </c>
      <c r="I18" s="17">
        <f>0.1*Table2[[#This Row],[Annual Salary]]</f>
        <v>4800</v>
      </c>
    </row>
    <row r="19" spans="3:9" x14ac:dyDescent="0.25">
      <c r="C19" s="13" t="s">
        <v>44</v>
      </c>
      <c r="D19" s="13"/>
      <c r="E19" s="13"/>
      <c r="F19" s="17">
        <f>SUM(F4:F18)</f>
        <v>281700</v>
      </c>
      <c r="G19" s="13"/>
      <c r="H19" s="17">
        <f>(Table2[[#This Row],[Salary ($)]]*12)</f>
        <v>3380400</v>
      </c>
      <c r="I19" s="17">
        <f>0.1*Table2[[#This Row],[Annual Salary]]</f>
        <v>338040</v>
      </c>
    </row>
    <row r="22" spans="3:9" x14ac:dyDescent="0.25">
      <c r="D22" s="18" t="s">
        <v>50</v>
      </c>
      <c r="E22" s="19">
        <f>SUM(F4:F18)</f>
        <v>281700</v>
      </c>
    </row>
    <row r="23" spans="3:9" x14ac:dyDescent="0.25">
      <c r="D23" s="18" t="s">
        <v>51</v>
      </c>
      <c r="E23" s="19">
        <f>AVERAGE(F4:F18)</f>
        <v>18780</v>
      </c>
    </row>
    <row r="24" spans="3:9" x14ac:dyDescent="0.25">
      <c r="D24" s="18" t="s">
        <v>52</v>
      </c>
      <c r="E24" s="19">
        <f>MAX(F4:F18)</f>
        <v>38000</v>
      </c>
    </row>
    <row r="25" spans="3:9" x14ac:dyDescent="0.25">
      <c r="D25" s="18" t="s">
        <v>53</v>
      </c>
      <c r="E25" s="19">
        <f>MIN(F4:F18)</f>
        <v>4000</v>
      </c>
    </row>
    <row r="26" spans="3:9" x14ac:dyDescent="0.25">
      <c r="D26" s="11" t="s">
        <v>54</v>
      </c>
      <c r="E26" s="10">
        <f>COUNT(C4:C18)</f>
        <v>15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3F4D-9BD9-4B32-89B7-0529587BA104}">
  <dimension ref="A1:F15"/>
  <sheetViews>
    <sheetView workbookViewId="0">
      <selection activeCell="E12" sqref="E12:E15"/>
    </sheetView>
  </sheetViews>
  <sheetFormatPr defaultRowHeight="15" x14ac:dyDescent="0.25"/>
  <cols>
    <col min="3" max="3" width="12.5703125" bestFit="1" customWidth="1"/>
    <col min="4" max="4" width="15.7109375" bestFit="1" customWidth="1"/>
    <col min="5" max="5" width="11.28515625" customWidth="1"/>
    <col min="6" max="6" width="11.140625" customWidth="1"/>
  </cols>
  <sheetData>
    <row r="1" spans="1:6" x14ac:dyDescent="0.25">
      <c r="A1" t="s">
        <v>55</v>
      </c>
    </row>
    <row r="4" spans="1:6" x14ac:dyDescent="0.25">
      <c r="C4" s="1" t="s">
        <v>56</v>
      </c>
      <c r="D4" s="2" t="s">
        <v>57</v>
      </c>
      <c r="E4" s="20" t="s">
        <v>58</v>
      </c>
      <c r="F4" s="12" t="s">
        <v>64</v>
      </c>
    </row>
    <row r="5" spans="1:6" x14ac:dyDescent="0.25">
      <c r="C5" s="21" t="s">
        <v>59</v>
      </c>
      <c r="D5" s="22">
        <v>15</v>
      </c>
      <c r="E5" s="40">
        <v>3500</v>
      </c>
      <c r="F5" s="36">
        <f>PRODUCT(Table6[[#This Row],[Units Sold]:[Unit Price]])</f>
        <v>52500</v>
      </c>
    </row>
    <row r="6" spans="1:6" x14ac:dyDescent="0.25">
      <c r="C6" s="21" t="s">
        <v>60</v>
      </c>
      <c r="D6" s="22">
        <v>40</v>
      </c>
      <c r="E6" s="40">
        <v>75</v>
      </c>
      <c r="F6" s="36">
        <f>PRODUCT(Table6[[#This Row],[Units Sold]:[Unit Price]])</f>
        <v>3000</v>
      </c>
    </row>
    <row r="7" spans="1:6" x14ac:dyDescent="0.25">
      <c r="C7" s="21" t="s">
        <v>61</v>
      </c>
      <c r="D7" s="22">
        <v>25</v>
      </c>
      <c r="E7" s="40">
        <v>180</v>
      </c>
      <c r="F7" s="36">
        <f>PRODUCT(Table6[[#This Row],[Units Sold]:[Unit Price]])</f>
        <v>4500</v>
      </c>
    </row>
    <row r="8" spans="1:6" x14ac:dyDescent="0.25">
      <c r="C8" s="21" t="s">
        <v>62</v>
      </c>
      <c r="D8" s="22">
        <v>12</v>
      </c>
      <c r="E8" s="40">
        <v>950</v>
      </c>
      <c r="F8" s="36">
        <f>PRODUCT(Table6[[#This Row],[Units Sold]:[Unit Price]])</f>
        <v>11400</v>
      </c>
    </row>
    <row r="9" spans="1:6" x14ac:dyDescent="0.25">
      <c r="C9" s="24" t="s">
        <v>63</v>
      </c>
      <c r="D9" s="25">
        <v>8</v>
      </c>
      <c r="E9" s="41">
        <v>1200</v>
      </c>
      <c r="F9" s="36">
        <f>PRODUCT(Table6[[#This Row],[Units Sold]:[Unit Price]])</f>
        <v>9600</v>
      </c>
    </row>
    <row r="12" spans="1:6" x14ac:dyDescent="0.25">
      <c r="D12" s="18" t="s">
        <v>65</v>
      </c>
      <c r="E12" s="36">
        <f>SUM(Table6[Revenue])</f>
        <v>81000</v>
      </c>
    </row>
    <row r="13" spans="1:6" x14ac:dyDescent="0.25">
      <c r="D13" s="18" t="s">
        <v>68</v>
      </c>
      <c r="E13" s="36">
        <f>AVERAGE(Table6[Revenue])</f>
        <v>16200</v>
      </c>
    </row>
    <row r="14" spans="1:6" x14ac:dyDescent="0.25">
      <c r="D14" s="18" t="s">
        <v>66</v>
      </c>
      <c r="E14" s="36">
        <f>MAX(Table6[Revenue])</f>
        <v>52500</v>
      </c>
    </row>
    <row r="15" spans="1:6" x14ac:dyDescent="0.25">
      <c r="D15" s="11" t="s">
        <v>67</v>
      </c>
      <c r="E15" s="42">
        <f>MIN(Table6[Revenue])</f>
        <v>3000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Performance</vt:lpstr>
      <vt:lpstr>Employee Performance</vt:lpstr>
      <vt:lpstr>Employee Data</vt:lpstr>
      <vt:lpstr>Sales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Peter</dc:creator>
  <cp:lastModifiedBy>Emmanuel Peter</cp:lastModifiedBy>
  <dcterms:created xsi:type="dcterms:W3CDTF">2026-08-01T16:26:20Z</dcterms:created>
  <dcterms:modified xsi:type="dcterms:W3CDTF">2026-08-03T00:48:31Z</dcterms:modified>
</cp:coreProperties>
</file>