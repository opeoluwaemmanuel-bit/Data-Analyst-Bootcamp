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 activeTab="1"/>
  </bookViews>
  <sheets>
    <sheet name="Vlookup Practice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<sst xmlns="http://schemas.openxmlformats.org/spreadsheetml/2006/main" count="115" uniqueCount="63">
  <si>
    <t>Employee ID</t>
  </si>
  <si>
    <t>Employee</t>
  </si>
  <si>
    <t>Department</t>
  </si>
  <si>
    <t>Annual Salary</t>
  </si>
  <si>
    <t>E001</t>
  </si>
  <si>
    <t>John</t>
  </si>
  <si>
    <t>Sales</t>
  </si>
  <si>
    <t>E002</t>
  </si>
  <si>
    <t>Mary</t>
  </si>
  <si>
    <t>IT</t>
  </si>
  <si>
    <t>E003</t>
  </si>
  <si>
    <t>David</t>
  </si>
  <si>
    <t>Finance</t>
  </si>
  <si>
    <t>E004</t>
  </si>
  <si>
    <t>Sarah</t>
  </si>
  <si>
    <t>HR</t>
  </si>
  <si>
    <t>E005</t>
  </si>
  <si>
    <t>James</t>
  </si>
  <si>
    <t>E006</t>
  </si>
  <si>
    <t>Grace</t>
  </si>
  <si>
    <t>E007</t>
  </si>
  <si>
    <t>Peter</t>
  </si>
  <si>
    <t>E008</t>
  </si>
  <si>
    <t>Ruth</t>
  </si>
  <si>
    <t>PRODUCT MASTER</t>
  </si>
  <si>
    <t>SALES TABLE</t>
  </si>
  <si>
    <t>Product ID</t>
  </si>
  <si>
    <t>Product</t>
  </si>
  <si>
    <t>Category</t>
  </si>
  <si>
    <t>Unit Price</t>
  </si>
  <si>
    <t>Transaction ID</t>
  </si>
  <si>
    <t>Units Sold</t>
  </si>
  <si>
    <t>Revenue</t>
  </si>
  <si>
    <t>P001</t>
  </si>
  <si>
    <t>Laptop</t>
  </si>
  <si>
    <t>Electronics</t>
  </si>
  <si>
    <t>T001</t>
  </si>
  <si>
    <t>P002</t>
  </si>
  <si>
    <t>Monitor</t>
  </si>
  <si>
    <t>T002</t>
  </si>
  <si>
    <t>P003</t>
  </si>
  <si>
    <t>Mouse</t>
  </si>
  <si>
    <t>Accessories</t>
  </si>
  <si>
    <t>T003</t>
  </si>
  <si>
    <t>P004</t>
  </si>
  <si>
    <t>Keyboard</t>
  </si>
  <si>
    <t>T004</t>
  </si>
  <si>
    <t>P005</t>
  </si>
  <si>
    <t>Printer</t>
  </si>
  <si>
    <t>Office</t>
  </si>
  <si>
    <t>T005</t>
  </si>
  <si>
    <t>P006</t>
  </si>
  <si>
    <t>Webcam</t>
  </si>
  <si>
    <t>T006</t>
  </si>
  <si>
    <t>P007</t>
  </si>
  <si>
    <t>Router</t>
  </si>
  <si>
    <t>Networking</t>
  </si>
  <si>
    <t>T007</t>
  </si>
  <si>
    <t>P008</t>
  </si>
  <si>
    <t>SSD</t>
  </si>
  <si>
    <t>Storage</t>
  </si>
  <si>
    <t>T008</t>
  </si>
  <si>
    <t>INDEX MATCH USAGE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</si>
</sst>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1" xfId="0" applyBorder="1">
      <alignment vertical="center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right" vertical="center" wrapText="1"/>
    </xf>
    <xf numFmtId="0" fontId="0" fillId="0" borderId="1" xfId="0" applyNumberForma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right" vertical="center" wrapText="1"/>
    </xf>
    <xf numFmtId="0" fontId="0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horizontal="right" wrapText="1"/>
    </dxf>
    <dxf>
      <alignment wrapText="1"/>
    </dxf>
    <dxf>
      <alignment wrapText="1"/>
    </dxf>
    <dxf>
      <alignment wrapText="1"/>
    </dxf>
    <dxf>
      <alignment horizontal="right" wrapText="1"/>
    </dxf>
    <dxf>
      <alignment wrapText="1"/>
    </dxf>
    <dxf>
      <alignment wrapText="1"/>
    </dxf>
    <dxf>
      <alignment horizontal="right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9" totalsRowShown="0">
  <tableColumns count="4">
    <tableColumn id="1" name="Employee ID" dataDxfId="0"/>
    <tableColumn id="2" name="Employee" dataDxfId="1"/>
    <tableColumn id="3" name="Department" dataDxfId="2"/>
    <tableColumn id="4" name="Annual Salary" dataDxfId="3">
      <calculatedColumnFormula>VLOOKUP(A2,$F$2:$G$9,2,FALSE)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G9" totalsRowShown="0">
  <tableColumns count="2">
    <tableColumn id="1" name="Employee ID" dataDxfId="4"/>
    <tableColumn id="2" name="Annual Salary" dataDxfId="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3:E11" totalsRowShown="0">
  <tableColumns count="4">
    <tableColumn id="1" name="Product ID" dataDxfId="6"/>
    <tableColumn id="2" name="Product" dataDxfId="7"/>
    <tableColumn id="3" name="Category" dataDxfId="8"/>
    <tableColumn id="4" name="Unit Price" dataDxfId="9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J3:P11" totalsRowShown="0">
  <tableColumns count="7">
    <tableColumn id="1" name="Transaction ID" dataDxfId="10"/>
    <tableColumn id="2" name="Product ID" dataDxfId="11"/>
    <tableColumn id="3" name="Units Sold" dataDxfId="12"/>
    <tableColumn id="4" name="Product" dataDxfId="13">
      <calculatedColumnFormula>VLOOKUP(K4,$B$4:$E$11,2,FALSE)</calculatedColumnFormula>
    </tableColumn>
    <tableColumn id="5" name="Category" dataDxfId="14">
      <calculatedColumnFormula>VLOOKUP(K4,$B$4:$E$11,3,FALSE)</calculatedColumnFormula>
    </tableColumn>
    <tableColumn id="6" name="Unit Price" dataDxfId="15">
      <calculatedColumnFormula>VLOOKUP(K4,$B$4:$E$11,4,FALSE)</calculatedColumnFormula>
    </tableColumn>
    <tableColumn id="7" name="Revenue" dataDxfId="16">
      <calculatedColumnFormula>PRODUCT(L4,O4)</calculatedColumnFormula>
    </tableColumn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16:H24" totalsRowShown="0">
  <tableColumns count="7">
    <tableColumn id="1" name="Transaction ID"/>
    <tableColumn id="2" name="Product ID"/>
    <tableColumn id="3" name="Units Sold"/>
    <tableColumn id="4" name="Product">
      <calculatedColumnFormula array="1">INDEX(C4:C11,MATCH(B4,B4:B11,0))</calculatedColumnFormula>
    </tableColumn>
    <tableColumn id="5" name="Category" dataDxfId="17">
      <calculatedColumnFormula array="1">INDEX(D4:D11,MATCH(B4,B4:B11,0))</calculatedColumnFormula>
    </tableColumn>
    <tableColumn id="6" name="Unit Price" dataDxfId="18">
      <calculatedColumnFormula array="1">INDEX(E4:E11,MATCH(B4,B4:B11,0))</calculatedColumnFormula>
    </tableColumn>
    <tableColumn id="7" name="Revenue" dataDxfId="19">
      <calculatedColumnFormula array="1">INDEX(P4:P11,MATCH(K4,K4:K11,0))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H1" sqref="H1"/>
    </sheetView>
  </sheetViews>
  <sheetFormatPr defaultColWidth="9.14285714285714" defaultRowHeight="15" outlineLevelCol="6"/>
  <cols>
    <col min="1" max="1" width="16.4285714285714" customWidth="1"/>
    <col min="2" max="2" width="12.1428571428571" customWidth="1"/>
    <col min="3" max="3" width="14.7142857142857" customWidth="1"/>
    <col min="4" max="4" width="14" customWidth="1"/>
    <col min="6" max="6" width="12.8571428571429" customWidth="1"/>
    <col min="7" max="7" width="17" customWidth="1"/>
  </cols>
  <sheetData>
    <row r="1" ht="15.75" spans="1:7">
      <c r="A1" s="20" t="s">
        <v>0</v>
      </c>
      <c r="B1" s="20" t="s">
        <v>1</v>
      </c>
      <c r="C1" s="20" t="s">
        <v>2</v>
      </c>
      <c r="D1" t="s">
        <v>3</v>
      </c>
      <c r="F1" s="20" t="s">
        <v>0</v>
      </c>
      <c r="G1" s="21" t="s">
        <v>3</v>
      </c>
    </row>
    <row r="2" ht="15.75" spans="1:7">
      <c r="A2" s="5" t="s">
        <v>4</v>
      </c>
      <c r="B2" s="5" t="s">
        <v>5</v>
      </c>
      <c r="C2" s="5" t="s">
        <v>6</v>
      </c>
      <c r="D2" s="13">
        <f t="shared" ref="D2:D9" si="0">VLOOKUP(A2,$F$2:$G$9,2,FALSE)</f>
        <v>72000</v>
      </c>
      <c r="F2" s="5" t="s">
        <v>4</v>
      </c>
      <c r="G2" s="6">
        <v>72000</v>
      </c>
    </row>
    <row r="3" ht="15.75" spans="1:7">
      <c r="A3" s="5" t="s">
        <v>7</v>
      </c>
      <c r="B3" s="5" t="s">
        <v>8</v>
      </c>
      <c r="C3" s="5" t="s">
        <v>9</v>
      </c>
      <c r="D3" s="13">
        <f t="shared" si="0"/>
        <v>85000</v>
      </c>
      <c r="F3" s="5" t="s">
        <v>7</v>
      </c>
      <c r="G3" s="6">
        <v>85000</v>
      </c>
    </row>
    <row r="4" ht="15.75" spans="1:7">
      <c r="A4" s="5" t="s">
        <v>10</v>
      </c>
      <c r="B4" s="5" t="s">
        <v>11</v>
      </c>
      <c r="C4" s="5" t="s">
        <v>12</v>
      </c>
      <c r="D4" s="13">
        <f t="shared" si="0"/>
        <v>68000</v>
      </c>
      <c r="F4" s="5" t="s">
        <v>10</v>
      </c>
      <c r="G4" s="6">
        <v>68000</v>
      </c>
    </row>
    <row r="5" ht="15.75" spans="1:7">
      <c r="A5" s="5" t="s">
        <v>13</v>
      </c>
      <c r="B5" s="5" t="s">
        <v>14</v>
      </c>
      <c r="C5" s="5" t="s">
        <v>15</v>
      </c>
      <c r="D5" s="13">
        <f t="shared" si="0"/>
        <v>61000</v>
      </c>
      <c r="F5" s="5" t="s">
        <v>13</v>
      </c>
      <c r="G5" s="6">
        <v>61000</v>
      </c>
    </row>
    <row r="6" ht="15.75" spans="1:7">
      <c r="A6" s="5" t="s">
        <v>16</v>
      </c>
      <c r="B6" s="5" t="s">
        <v>17</v>
      </c>
      <c r="C6" s="5" t="s">
        <v>9</v>
      </c>
      <c r="D6" s="13">
        <f t="shared" si="0"/>
        <v>92000</v>
      </c>
      <c r="F6" s="5" t="s">
        <v>16</v>
      </c>
      <c r="G6" s="6">
        <v>92000</v>
      </c>
    </row>
    <row r="7" ht="15.75" spans="1:7">
      <c r="A7" s="5" t="s">
        <v>18</v>
      </c>
      <c r="B7" s="5" t="s">
        <v>19</v>
      </c>
      <c r="C7" s="5" t="s">
        <v>6</v>
      </c>
      <c r="D7" s="13">
        <f t="shared" si="0"/>
        <v>75000</v>
      </c>
      <c r="F7" s="5" t="s">
        <v>18</v>
      </c>
      <c r="G7" s="6">
        <v>75000</v>
      </c>
    </row>
    <row r="8" ht="15.75" spans="1:7">
      <c r="A8" s="5" t="s">
        <v>20</v>
      </c>
      <c r="B8" s="5" t="s">
        <v>21</v>
      </c>
      <c r="C8" s="5" t="s">
        <v>12</v>
      </c>
      <c r="D8" s="13">
        <f t="shared" si="0"/>
        <v>70000</v>
      </c>
      <c r="F8" s="5" t="s">
        <v>20</v>
      </c>
      <c r="G8" s="6">
        <v>70000</v>
      </c>
    </row>
    <row r="9" ht="15.75" spans="1:7">
      <c r="A9" s="5" t="s">
        <v>22</v>
      </c>
      <c r="B9" s="5" t="s">
        <v>23</v>
      </c>
      <c r="C9" s="5" t="s">
        <v>15</v>
      </c>
      <c r="D9" s="13">
        <f t="shared" si="0"/>
        <v>66000</v>
      </c>
      <c r="F9" s="5" t="s">
        <v>22</v>
      </c>
      <c r="G9" s="6">
        <v>66000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4"/>
  <sheetViews>
    <sheetView tabSelected="1" workbookViewId="0">
      <selection activeCell="B16" sqref="B16"/>
    </sheetView>
  </sheetViews>
  <sheetFormatPr defaultColWidth="9.14285714285714" defaultRowHeight="15"/>
  <cols>
    <col min="2" max="2" width="13.1428571428571" customWidth="1"/>
    <col min="3" max="3" width="9.85714285714286" customWidth="1"/>
    <col min="4" max="4" width="11.1428571428571" customWidth="1"/>
    <col min="5" max="5" width="10" customWidth="1"/>
    <col min="6" max="6" width="12.2857142857143" customWidth="1"/>
    <col min="8" max="8" width="9.42857142857143" customWidth="1"/>
    <col min="10" max="10" width="13.1428571428571" customWidth="1"/>
    <col min="11" max="11" width="9.85714285714286" customWidth="1"/>
    <col min="12" max="12" width="9.71428571428571" customWidth="1"/>
    <col min="14" max="14" width="12.1428571428571" customWidth="1"/>
    <col min="15" max="15" width="10.2857142857143" customWidth="1"/>
    <col min="16" max="16" width="9.42857142857143" customWidth="1"/>
  </cols>
  <sheetData>
    <row r="2" ht="15.75" spans="2:16">
      <c r="B2" s="1" t="s">
        <v>24</v>
      </c>
      <c r="C2" s="2"/>
      <c r="D2" s="2"/>
      <c r="E2" s="2"/>
      <c r="J2" s="16" t="s">
        <v>25</v>
      </c>
      <c r="K2" s="7"/>
      <c r="L2" s="7"/>
      <c r="M2" s="7"/>
      <c r="N2" s="7"/>
      <c r="O2" s="7"/>
      <c r="P2" s="7"/>
    </row>
    <row r="3" ht="15.75" spans="2:16">
      <c r="B3" s="3" t="s">
        <v>26</v>
      </c>
      <c r="C3" s="3" t="s">
        <v>27</v>
      </c>
      <c r="D3" s="3" t="s">
        <v>28</v>
      </c>
      <c r="E3" s="4" t="s">
        <v>29</v>
      </c>
      <c r="J3" s="17" t="s">
        <v>30</v>
      </c>
      <c r="K3" s="17" t="s">
        <v>26</v>
      </c>
      <c r="L3" s="18" t="s">
        <v>31</v>
      </c>
      <c r="M3" s="19" t="s">
        <v>27</v>
      </c>
      <c r="N3" s="19" t="s">
        <v>28</v>
      </c>
      <c r="O3" s="19" t="s">
        <v>29</v>
      </c>
      <c r="P3" s="19" t="s">
        <v>32</v>
      </c>
    </row>
    <row r="4" ht="15.75" spans="2:16">
      <c r="B4" s="5" t="s">
        <v>33</v>
      </c>
      <c r="C4" s="5" t="s">
        <v>34</v>
      </c>
      <c r="D4" s="5" t="s">
        <v>35</v>
      </c>
      <c r="E4" s="6">
        <v>1050</v>
      </c>
      <c r="J4" s="5" t="s">
        <v>36</v>
      </c>
      <c r="K4" s="5" t="s">
        <v>33</v>
      </c>
      <c r="L4" s="6">
        <v>5</v>
      </c>
      <c r="M4" s="13" t="str">
        <f t="shared" ref="M4:M11" si="0">VLOOKUP(K4,$B$4:$E$11,2,FALSE)</f>
        <v>Laptop</v>
      </c>
      <c r="N4" s="13" t="str">
        <f t="shared" ref="N4:N11" si="1">VLOOKUP(K4,$B$4:$E$11,3,FALSE)</f>
        <v>Electronics</v>
      </c>
      <c r="O4" s="13">
        <f t="shared" ref="O4:O11" si="2">VLOOKUP(K4,$B$4:$E$11,4,FALSE)</f>
        <v>1050</v>
      </c>
      <c r="P4" s="13">
        <f t="shared" ref="P4:P11" si="3">PRODUCT(L4,O4)</f>
        <v>5250</v>
      </c>
    </row>
    <row r="5" ht="15.75" spans="2:16">
      <c r="B5" s="5" t="s">
        <v>37</v>
      </c>
      <c r="C5" s="5" t="s">
        <v>38</v>
      </c>
      <c r="D5" s="5" t="s">
        <v>35</v>
      </c>
      <c r="E5" s="6">
        <v>220</v>
      </c>
      <c r="J5" s="5" t="s">
        <v>39</v>
      </c>
      <c r="K5" s="5" t="s">
        <v>40</v>
      </c>
      <c r="L5" s="6">
        <v>20</v>
      </c>
      <c r="M5" s="13" t="str">
        <f t="shared" si="0"/>
        <v>Mouse</v>
      </c>
      <c r="N5" s="13" t="str">
        <f t="shared" si="1"/>
        <v>Accessories</v>
      </c>
      <c r="O5" s="13">
        <f t="shared" si="2"/>
        <v>25</v>
      </c>
      <c r="P5" s="13">
        <f t="shared" si="3"/>
        <v>500</v>
      </c>
    </row>
    <row r="6" ht="15.75" spans="2:16">
      <c r="B6" s="5" t="s">
        <v>40</v>
      </c>
      <c r="C6" s="5" t="s">
        <v>41</v>
      </c>
      <c r="D6" s="5" t="s">
        <v>42</v>
      </c>
      <c r="E6" s="6">
        <v>25</v>
      </c>
      <c r="J6" s="5" t="s">
        <v>43</v>
      </c>
      <c r="K6" s="5" t="s">
        <v>37</v>
      </c>
      <c r="L6" s="6">
        <v>8</v>
      </c>
      <c r="M6" s="13" t="str">
        <f t="shared" si="0"/>
        <v>Monitor</v>
      </c>
      <c r="N6" s="13" t="str">
        <f t="shared" si="1"/>
        <v>Electronics</v>
      </c>
      <c r="O6" s="13">
        <f t="shared" si="2"/>
        <v>220</v>
      </c>
      <c r="P6" s="13">
        <f t="shared" si="3"/>
        <v>1760</v>
      </c>
    </row>
    <row r="7" ht="15.75" spans="2:16">
      <c r="B7" s="5" t="s">
        <v>44</v>
      </c>
      <c r="C7" s="5" t="s">
        <v>45</v>
      </c>
      <c r="D7" s="5" t="s">
        <v>42</v>
      </c>
      <c r="E7" s="6">
        <v>45</v>
      </c>
      <c r="J7" s="5" t="s">
        <v>46</v>
      </c>
      <c r="K7" s="5" t="s">
        <v>47</v>
      </c>
      <c r="L7" s="6">
        <v>4</v>
      </c>
      <c r="M7" s="13" t="str">
        <f t="shared" si="0"/>
        <v>Printer</v>
      </c>
      <c r="N7" s="13" t="str">
        <f t="shared" si="1"/>
        <v>Office</v>
      </c>
      <c r="O7" s="13">
        <f t="shared" si="2"/>
        <v>180</v>
      </c>
      <c r="P7" s="13">
        <f t="shared" si="3"/>
        <v>720</v>
      </c>
    </row>
    <row r="8" ht="15.75" spans="2:16">
      <c r="B8" s="5" t="s">
        <v>47</v>
      </c>
      <c r="C8" s="5" t="s">
        <v>48</v>
      </c>
      <c r="D8" s="5" t="s">
        <v>49</v>
      </c>
      <c r="E8" s="6">
        <v>180</v>
      </c>
      <c r="J8" s="5" t="s">
        <v>50</v>
      </c>
      <c r="K8" s="5" t="s">
        <v>44</v>
      </c>
      <c r="L8" s="6">
        <v>15</v>
      </c>
      <c r="M8" s="13" t="str">
        <f t="shared" si="0"/>
        <v>Keyboard</v>
      </c>
      <c r="N8" s="13" t="str">
        <f t="shared" si="1"/>
        <v>Accessories</v>
      </c>
      <c r="O8" s="13">
        <f t="shared" si="2"/>
        <v>45</v>
      </c>
      <c r="P8" s="13">
        <f t="shared" si="3"/>
        <v>675</v>
      </c>
    </row>
    <row r="9" ht="15.75" spans="2:16">
      <c r="B9" s="5" t="s">
        <v>51</v>
      </c>
      <c r="C9" s="5" t="s">
        <v>52</v>
      </c>
      <c r="D9" s="5" t="s">
        <v>42</v>
      </c>
      <c r="E9" s="6">
        <v>85</v>
      </c>
      <c r="J9" s="5" t="s">
        <v>53</v>
      </c>
      <c r="K9" s="5" t="s">
        <v>33</v>
      </c>
      <c r="L9" s="6">
        <v>3</v>
      </c>
      <c r="M9" s="13" t="str">
        <f t="shared" si="0"/>
        <v>Laptop</v>
      </c>
      <c r="N9" s="13" t="str">
        <f t="shared" si="1"/>
        <v>Electronics</v>
      </c>
      <c r="O9" s="13">
        <f t="shared" si="2"/>
        <v>1050</v>
      </c>
      <c r="P9" s="13">
        <f t="shared" si="3"/>
        <v>3150</v>
      </c>
    </row>
    <row r="10" ht="15.75" spans="2:16">
      <c r="B10" s="5" t="s">
        <v>54</v>
      </c>
      <c r="C10" s="5" t="s">
        <v>55</v>
      </c>
      <c r="D10" s="5" t="s">
        <v>56</v>
      </c>
      <c r="E10" s="6">
        <v>120</v>
      </c>
      <c r="J10" s="5" t="s">
        <v>57</v>
      </c>
      <c r="K10" s="5" t="s">
        <v>58</v>
      </c>
      <c r="L10" s="6">
        <v>10</v>
      </c>
      <c r="M10" s="13" t="str">
        <f t="shared" si="0"/>
        <v>SSD</v>
      </c>
      <c r="N10" s="13" t="str">
        <f t="shared" si="1"/>
        <v>Storage</v>
      </c>
      <c r="O10" s="13">
        <f t="shared" si="2"/>
        <v>110</v>
      </c>
      <c r="P10" s="13">
        <f t="shared" si="3"/>
        <v>1100</v>
      </c>
    </row>
    <row r="11" ht="15.75" spans="2:16">
      <c r="B11" s="5" t="s">
        <v>58</v>
      </c>
      <c r="C11" s="5" t="s">
        <v>59</v>
      </c>
      <c r="D11" s="5" t="s">
        <v>60</v>
      </c>
      <c r="E11" s="6">
        <v>110</v>
      </c>
      <c r="J11" s="5" t="s">
        <v>61</v>
      </c>
      <c r="K11" s="5" t="s">
        <v>51</v>
      </c>
      <c r="L11" s="6">
        <v>12</v>
      </c>
      <c r="M11" s="13" t="str">
        <f t="shared" si="0"/>
        <v>Webcam</v>
      </c>
      <c r="N11" s="13" t="str">
        <f t="shared" si="1"/>
        <v>Accessories</v>
      </c>
      <c r="O11" s="13">
        <f t="shared" si="2"/>
        <v>85</v>
      </c>
      <c r="P11" s="13">
        <f t="shared" si="3"/>
        <v>1020</v>
      </c>
    </row>
    <row r="15" ht="15.75" spans="2:8">
      <c r="B15" s="7" t="s">
        <v>62</v>
      </c>
      <c r="C15" s="7"/>
      <c r="D15" s="7"/>
      <c r="E15" s="7"/>
      <c r="F15" s="7"/>
      <c r="G15" s="7"/>
      <c r="H15" s="7"/>
    </row>
    <row r="16" ht="15.75" spans="2:8">
      <c r="B16" s="8" t="s">
        <v>30</v>
      </c>
      <c r="C16" s="8" t="s">
        <v>26</v>
      </c>
      <c r="D16" s="9" t="s">
        <v>31</v>
      </c>
      <c r="E16" s="10" t="s">
        <v>27</v>
      </c>
      <c r="F16" s="10" t="s">
        <v>28</v>
      </c>
      <c r="G16" s="10" t="s">
        <v>29</v>
      </c>
      <c r="H16" s="10" t="s">
        <v>32</v>
      </c>
    </row>
    <row r="17" ht="15.75" spans="2:8">
      <c r="B17" s="11" t="s">
        <v>36</v>
      </c>
      <c r="C17" s="11" t="s">
        <v>33</v>
      </c>
      <c r="D17" s="12">
        <v>5</v>
      </c>
      <c r="E17" s="10" t="str" cm="1">
        <f t="array" ref="E17">INDEX(C4:C11,MATCH(B4,B4:B11,0))</f>
        <v>Laptop</v>
      </c>
      <c r="F17" s="13" t="str" cm="1">
        <f t="array" ref="F17">INDEX(D4:D11,MATCH(B4,B4:B11,0))</f>
        <v>Electronics</v>
      </c>
      <c r="G17" s="13" cm="1">
        <f t="array" ref="G17">INDEX(E4:E11,MATCH(B4,B4:B11,0))</f>
        <v>1050</v>
      </c>
      <c r="H17" s="13" cm="1">
        <f t="array" ref="H17">INDEX(P4:P11,MATCH(K4,K4:K11,0))</f>
        <v>5250</v>
      </c>
    </row>
    <row r="18" ht="15.75" spans="2:8">
      <c r="B18" s="14" t="s">
        <v>39</v>
      </c>
      <c r="C18" s="14" t="s">
        <v>40</v>
      </c>
      <c r="D18" s="15">
        <v>20</v>
      </c>
      <c r="E18" s="10" t="str" cm="1">
        <f t="array" ref="E18">INDEX(C5:C12,MATCH(B5,B5:B12,0))</f>
        <v>Monitor</v>
      </c>
      <c r="F18" s="13" t="str" cm="1">
        <f t="array" ref="F18">INDEX(D5:D12,MATCH(B5,B5:B12,0))</f>
        <v>Electronics</v>
      </c>
      <c r="G18" s="13" cm="1">
        <f t="array" ref="G18">INDEX(E5:E12,MATCH(B5,B5:B12,0))</f>
        <v>220</v>
      </c>
      <c r="H18" s="13" cm="1">
        <f t="array" ref="H18">INDEX(P5:P12,MATCH(K5,K5:K12,0))</f>
        <v>500</v>
      </c>
    </row>
    <row r="19" ht="15.75" spans="2:8">
      <c r="B19" s="11" t="s">
        <v>43</v>
      </c>
      <c r="C19" s="11" t="s">
        <v>37</v>
      </c>
      <c r="D19" s="12">
        <v>8</v>
      </c>
      <c r="E19" s="10" t="str" cm="1">
        <f t="array" ref="E19">INDEX(C6:C13,MATCH(B6,B6:B13,0))</f>
        <v>Mouse</v>
      </c>
      <c r="F19" s="13" t="str" cm="1">
        <f t="array" ref="F19">INDEX(D6:D13,MATCH(B6,B6:B13,0))</f>
        <v>Accessories</v>
      </c>
      <c r="G19" s="13" cm="1">
        <f t="array" ref="G19">INDEX(E6:E13,MATCH(B6,B6:B13,0))</f>
        <v>25</v>
      </c>
      <c r="H19" s="13" cm="1">
        <f t="array" ref="H19">INDEX(P6:P13,MATCH(K6,K6:K13,0))</f>
        <v>1760</v>
      </c>
    </row>
    <row r="20" ht="15.75" spans="2:8">
      <c r="B20" s="14" t="s">
        <v>46</v>
      </c>
      <c r="C20" s="14" t="s">
        <v>47</v>
      </c>
      <c r="D20" s="15">
        <v>4</v>
      </c>
      <c r="E20" s="10" t="str" cm="1">
        <f t="array" ref="E20">INDEX(C7:C14,MATCH(B7,B7:B14,0))</f>
        <v>Keyboard</v>
      </c>
      <c r="F20" s="13" t="str" cm="1">
        <f t="array" ref="F20">INDEX(D7:D14,MATCH(B7,B7:B14,0))</f>
        <v>Accessories</v>
      </c>
      <c r="G20" s="13" cm="1">
        <f t="array" ref="G20">INDEX(E7:E14,MATCH(B7,B7:B14,0))</f>
        <v>45</v>
      </c>
      <c r="H20" s="13" cm="1">
        <f t="array" ref="H20">INDEX(P7:P14,MATCH(K7,K7:K14,0))</f>
        <v>720</v>
      </c>
    </row>
    <row r="21" ht="15.75" spans="2:8">
      <c r="B21" s="11" t="s">
        <v>50</v>
      </c>
      <c r="C21" s="11" t="s">
        <v>44</v>
      </c>
      <c r="D21" s="12">
        <v>15</v>
      </c>
      <c r="E21" s="10" t="str" cm="1">
        <f t="array" ref="E21">INDEX(C8:C15,MATCH(B8,B8:B15,0))</f>
        <v>Printer</v>
      </c>
      <c r="F21" s="13" t="str" cm="1">
        <f t="array" ref="F21">INDEX(D8:D15,MATCH(B8,B8:B15,0))</f>
        <v>Office</v>
      </c>
      <c r="G21" s="13" cm="1">
        <f t="array" ref="G21">INDEX(E8:E15,MATCH(B8,B8:B15,0))</f>
        <v>180</v>
      </c>
      <c r="H21" s="13" cm="1">
        <f t="array" ref="H21">INDEX(P8:P15,MATCH(K8,K8:K15,0))</f>
        <v>675</v>
      </c>
    </row>
    <row r="22" ht="15.75" spans="2:8">
      <c r="B22" s="14" t="s">
        <v>53</v>
      </c>
      <c r="C22" s="14" t="s">
        <v>33</v>
      </c>
      <c r="D22" s="15">
        <v>3</v>
      </c>
      <c r="E22" s="10" t="str" cm="1">
        <f t="array" ref="E22">INDEX(C9:C16,MATCH(B9,B9:B16,0))</f>
        <v>Webcam</v>
      </c>
      <c r="F22" s="13" t="str" cm="1">
        <f t="array" ref="F22">INDEX(D9:D16,MATCH(B9,B9:B16,0))</f>
        <v>Accessories</v>
      </c>
      <c r="G22" s="13" cm="1">
        <f t="array" ref="G22">INDEX(E9:E16,MATCH(B9,B9:B16,0))</f>
        <v>85</v>
      </c>
      <c r="H22" s="13" cm="1">
        <f t="array" ref="H22">INDEX(P9:P16,MATCH(K9,K9:K16,0))</f>
        <v>3150</v>
      </c>
    </row>
    <row r="23" ht="15.75" spans="2:8">
      <c r="B23" s="11" t="s">
        <v>57</v>
      </c>
      <c r="C23" s="11" t="s">
        <v>58</v>
      </c>
      <c r="D23" s="12">
        <v>10</v>
      </c>
      <c r="E23" s="10" t="str" cm="1">
        <f t="array" ref="E23">INDEX(C10:C17,MATCH(B10,B10:B17,0))</f>
        <v>Router</v>
      </c>
      <c r="F23" s="13" t="str" cm="1">
        <f t="array" ref="F23">INDEX(D10:D17,MATCH(B10,B10:B17,0))</f>
        <v>Networking</v>
      </c>
      <c r="G23" s="13" cm="1">
        <f t="array" ref="G23">INDEX(E10:E17,MATCH(B10,B10:B17,0))</f>
        <v>120</v>
      </c>
      <c r="H23" s="13" cm="1">
        <f t="array" ref="H23">INDEX(P10:P17,MATCH(K10,K10:K17,0))</f>
        <v>1100</v>
      </c>
    </row>
    <row r="24" ht="15.75" spans="2:8">
      <c r="B24" s="14" t="s">
        <v>61</v>
      </c>
      <c r="C24" s="14" t="s">
        <v>51</v>
      </c>
      <c r="D24" s="15">
        <v>12</v>
      </c>
      <c r="E24" s="10" t="str" cm="1">
        <f t="array" ref="E24">INDEX(C11:C18,MATCH(B11,B11:B18,0))</f>
        <v>SSD</v>
      </c>
      <c r="F24" s="13" t="str" cm="1">
        <f t="array" ref="F24">INDEX(D11:D18,MATCH(B11,B11:B18,0))</f>
        <v>Storage</v>
      </c>
      <c r="G24" s="13" cm="1">
        <f t="array" ref="G24">INDEX(E11:E18,MATCH(B11,B11:B18,0))</f>
        <v>110</v>
      </c>
      <c r="H24" s="13" cm="1">
        <f t="array" ref="H24">INDEX(P11:P18,MATCH(K11,K11:K18,0))</f>
        <v>1020</v>
      </c>
    </row>
  </sheetData>
  <mergeCells count="3">
    <mergeCell ref="B2:E2"/>
    <mergeCell ref="J2:P2"/>
    <mergeCell ref="B15:H15"/>
  </mergeCells>
  <pageMargins left="0.75" right="0.75" top="1" bottom="1" header="0.5" footer="0.5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Vlookup Practice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2026-08-10T19:32:31Z</dcterms:created>
  <dcterms:modified xsi:type="dcterms:W3CDTF">2026-08-11T22:55:04Z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861D327312FD49EA85C34A04CD32F6E4_11</vt:lpwstr>
  </property>
  <property fmtid="{D5CDD505-2E9C-101B-9397-08002B2CF9AE}" pid="3" name="KSOProductBuildVer">
    <vt:lpwstr>2057-12.2.0.23206</vt:lpwstr>
  </property>
</Properties>
</file>