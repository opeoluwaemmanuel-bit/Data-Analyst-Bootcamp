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metadata.xml" ContentType="application/vnd.openxmlformats-officedocument.spreadsheetml.sheetMetadata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Cache/pivotCacheRecords3.xml" ContentType="application/vnd.openxmlformats-officedocument.spreadsheetml.pivotCacheRecords+xml"/>
  <Override PartName="/xl/pivotCache/pivotCacheRecords4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00" windowHeight="7500" tabRatio="500" firstSheet="8" activeTab="11"/>
  </bookViews>
  <sheets>
    <sheet name="Student Performance" sheetId="1" r:id="rId1"/>
    <sheet name="Data Cleaning" sheetId="2" r:id="rId2"/>
    <sheet name="Employee Performance" sheetId="3" r:id="rId3"/>
    <sheet name="Employee Data" sheetId="4" r:id="rId4"/>
    <sheet name="Sales Analysis" sheetId="5" r:id="rId5"/>
    <sheet name="Dashboard" sheetId="6" r:id="rId6"/>
    <sheet name="Monthly Sales Data" sheetId="7" r:id="rId7"/>
    <sheet name="Management Dashboard" sheetId="8" r:id="rId8"/>
    <sheet name="Executive Summary" sheetId="10" r:id="rId9"/>
    <sheet name="IF Practice" sheetId="11" r:id="rId10"/>
    <sheet name="Employee Bonus" sheetId="12" r:id="rId11"/>
    <sheet name="Sales Categories" sheetId="13" r:id="rId12"/>
  </sheets>
  <definedNames>
    <definedName name="_xlnm._FilterDatabase" localSheetId="1" hidden="1">'Data Cleaning'!$D$4:$I$13</definedName>
  </definedNames>
  <calcPr calcId="191029"/>
  <pivotCaches>
    <pivotCache cacheId="0" r:id="rId13"/>
    <pivotCache cacheId="1" r:id="rId14"/>
    <pivotCache cacheId="2" r:id="rId15"/>
    <pivotCache cacheId="3" r:id="rId1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<sst xmlns="http://schemas.openxmlformats.org/spreadsheetml/2006/main" count="440" uniqueCount="191">
  <si>
    <t>STUDENTS PERFORMANCE IN ENGLISH, MATH, AND SCIENCE</t>
  </si>
  <si>
    <t>Student ID</t>
  </si>
  <si>
    <t>Name</t>
  </si>
  <si>
    <t>Class</t>
  </si>
  <si>
    <t>Math</t>
  </si>
  <si>
    <t>English</t>
  </si>
  <si>
    <t>Science</t>
  </si>
  <si>
    <t>Total</t>
  </si>
  <si>
    <t>Average</t>
  </si>
  <si>
    <t>Highest Score</t>
  </si>
  <si>
    <t>Lowest Score</t>
  </si>
  <si>
    <t>Number of Grade 5</t>
  </si>
  <si>
    <t>John</t>
  </si>
  <si>
    <t>Grade 6</t>
  </si>
  <si>
    <t>Number of Grade 6</t>
  </si>
  <si>
    <t>Mary</t>
  </si>
  <si>
    <t>Above 85 in Math</t>
  </si>
  <si>
    <t>David</t>
  </si>
  <si>
    <t>Grade 5</t>
  </si>
  <si>
    <t>Sarah</t>
  </si>
  <si>
    <t>Total Math marks for Grade 5</t>
  </si>
  <si>
    <t>James</t>
  </si>
  <si>
    <t>Total Math marks for Grade 6</t>
  </si>
  <si>
    <t>Grace</t>
  </si>
  <si>
    <t>Total Science marks for Grade 5</t>
  </si>
  <si>
    <t>Daniel</t>
  </si>
  <si>
    <t>Ruth</t>
  </si>
  <si>
    <t>Average Math score for Grade 5</t>
  </si>
  <si>
    <t>Peter</t>
  </si>
  <si>
    <t>Average Math score for Grade 6</t>
  </si>
  <si>
    <t>Esther</t>
  </si>
  <si>
    <t>Average Science score for Grade 6</t>
  </si>
  <si>
    <t>EMPLOYEE DATA</t>
  </si>
  <si>
    <t>Employee ID</t>
  </si>
  <si>
    <t>Employee Name</t>
  </si>
  <si>
    <t>Department</t>
  </si>
  <si>
    <t>Salary</t>
  </si>
  <si>
    <t>Clean Name</t>
  </si>
  <si>
    <t>Clean Department</t>
  </si>
  <si>
    <t>john smith</t>
  </si>
  <si>
    <t>hr</t>
  </si>
  <si>
    <t>Mary Jones</t>
  </si>
  <si>
    <t>IT</t>
  </si>
  <si>
    <t>David Brown</t>
  </si>
  <si>
    <t>Finance</t>
  </si>
  <si>
    <t>SARAH JOHNSON</t>
  </si>
  <si>
    <t>Grace Wilson</t>
  </si>
  <si>
    <t>Peter Adams</t>
  </si>
  <si>
    <t>Ruth White</t>
  </si>
  <si>
    <t>HR</t>
  </si>
  <si>
    <t>Daniel Green</t>
  </si>
  <si>
    <t>Esther Black</t>
  </si>
  <si>
    <t>EMPLOYEE IN IT DEPARTMENT ONLY</t>
  </si>
  <si>
    <t>SALARY GREATER THAN 8000</t>
  </si>
  <si>
    <t>FINANCE EMPLOYEE ONLY</t>
  </si>
  <si>
    <t>FINANCE</t>
  </si>
  <si>
    <t>EMPLOYEE PERFOMANCE DATA</t>
  </si>
  <si>
    <t>Employee</t>
  </si>
  <si>
    <t>Rating</t>
  </si>
  <si>
    <t>Number of employees in HR</t>
  </si>
  <si>
    <t>Average Salary</t>
  </si>
  <si>
    <t>Number of employees in IT</t>
  </si>
  <si>
    <t>Total salary paid to HR</t>
  </si>
  <si>
    <t>Total salary paid to IT</t>
  </si>
  <si>
    <t>Average salary in Finance</t>
  </si>
  <si>
    <t>Grand Total</t>
  </si>
  <si>
    <t>Average rating in HR</t>
  </si>
  <si>
    <t>average salary in HR</t>
  </si>
  <si>
    <t>average salary in  IT</t>
  </si>
  <si>
    <t>Average rating in IT</t>
  </si>
  <si>
    <t>Average rating in Finance</t>
  </si>
  <si>
    <t>Business Insight:</t>
  </si>
  <si>
    <t xml:space="preserve">IT department has the highest average salary </t>
  </si>
  <si>
    <t>IT  department has the highest average rating</t>
  </si>
  <si>
    <t>HR  department has  the lowest average  salary</t>
  </si>
  <si>
    <t>EMPLOYEE DATA  BY DEPARTMENTS AND SALARIES</t>
  </si>
  <si>
    <t>Salary ($)</t>
  </si>
  <si>
    <t>Years of Service</t>
  </si>
  <si>
    <t>Annual Salary</t>
  </si>
  <si>
    <t>Bonus</t>
  </si>
  <si>
    <t>Number of Employee</t>
  </si>
  <si>
    <t>Bukky Wright</t>
  </si>
  <si>
    <t>Warehouse</t>
  </si>
  <si>
    <t>Education</t>
  </si>
  <si>
    <t>Kunle Badru</t>
  </si>
  <si>
    <t>Works</t>
  </si>
  <si>
    <t>Tope Young</t>
  </si>
  <si>
    <t>Health</t>
  </si>
  <si>
    <t>Effiong Calistos</t>
  </si>
  <si>
    <t>Maintainance</t>
  </si>
  <si>
    <t>John Smith</t>
  </si>
  <si>
    <t>Francis Okeola</t>
  </si>
  <si>
    <t>Bright Asemota</t>
  </si>
  <si>
    <t>Total Result</t>
  </si>
  <si>
    <t>Douglas Dare</t>
  </si>
  <si>
    <t>Joshua Simpson</t>
  </si>
  <si>
    <t>Emmanuel Segun</t>
  </si>
  <si>
    <t>Opeoluwa Peters</t>
  </si>
  <si>
    <t>Segun Fadimu</t>
  </si>
  <si>
    <t>Akanbi Faith</t>
  </si>
  <si>
    <t>Tola Ibidapo</t>
  </si>
  <si>
    <t>Dolapo Esse</t>
  </si>
  <si>
    <t>Total Payroll</t>
  </si>
  <si>
    <t>Highest Salary</t>
  </si>
  <si>
    <t>Lowest Salary</t>
  </si>
  <si>
    <t>Number of Employees</t>
  </si>
  <si>
    <t>S</t>
  </si>
  <si>
    <t>Product</t>
  </si>
  <si>
    <t>Units Sold</t>
  </si>
  <si>
    <t>Unit Price</t>
  </si>
  <si>
    <t>Revenue</t>
  </si>
  <si>
    <t>Revenue per Product</t>
  </si>
  <si>
    <t>Mouse</t>
  </si>
  <si>
    <t>Laptop</t>
  </si>
  <si>
    <t>Keyboard</t>
  </si>
  <si>
    <t>Monitor</t>
  </si>
  <si>
    <t>Printer</t>
  </si>
  <si>
    <t>Total Revenue</t>
  </si>
  <si>
    <t>Average Revenue</t>
  </si>
  <si>
    <t>Highest Revenue</t>
  </si>
  <si>
    <t>Lowest Revenue</t>
  </si>
  <si>
    <t>Insight</t>
  </si>
  <si>
    <t>Laptop generated the highest revenue</t>
  </si>
  <si>
    <t>BUSINESS PERFORMANCE DASHBOARD</t>
  </si>
  <si>
    <t>Date</t>
  </si>
  <si>
    <t>Salesperson</t>
  </si>
  <si>
    <t>Region</t>
  </si>
  <si>
    <t xml:space="preserve">Revenue </t>
  </si>
  <si>
    <t xml:space="preserve">Average Revenue </t>
  </si>
  <si>
    <t>Sum of Units Sold</t>
  </si>
  <si>
    <t>13-Aug</t>
  </si>
  <si>
    <t>East</t>
  </si>
  <si>
    <t>1-Aug</t>
  </si>
  <si>
    <t>North</t>
  </si>
  <si>
    <t>5-Aug</t>
  </si>
  <si>
    <t>9-Aug</t>
  </si>
  <si>
    <t>West</t>
  </si>
  <si>
    <t>3-Aug</t>
  </si>
  <si>
    <t>8-Aug</t>
  </si>
  <si>
    <t>14-Aug</t>
  </si>
  <si>
    <t>6-Aug</t>
  </si>
  <si>
    <t xml:space="preserve">Average of Revenue </t>
  </si>
  <si>
    <t>7-Aug</t>
  </si>
  <si>
    <t>South</t>
  </si>
  <si>
    <t>Average Revenue per Unit sold</t>
  </si>
  <si>
    <t>10-Aug</t>
  </si>
  <si>
    <t>Average Revenue per Sale</t>
  </si>
  <si>
    <t>11-Aug</t>
  </si>
  <si>
    <t>15-Aug</t>
  </si>
  <si>
    <t>12-Aug</t>
  </si>
  <si>
    <t>4-Aug</t>
  </si>
  <si>
    <t>2-Aug</t>
  </si>
  <si>
    <t xml:space="preserve">Sum of Revenue </t>
  </si>
  <si>
    <t>Values</t>
  </si>
  <si>
    <t>Revenues</t>
  </si>
  <si>
    <t>No of Units Sold</t>
  </si>
  <si>
    <t xml:space="preserve">REVENUE BY PRODUCT </t>
  </si>
  <si>
    <t>REVENUE BY REGION</t>
  </si>
  <si>
    <t>REVENUE BY SALESPERSON</t>
  </si>
  <si>
    <t>UNIT SOLD BY PRODUCT</t>
  </si>
  <si>
    <t>KEY FINDINGS</t>
  </si>
  <si>
    <t>The product with the highest revenue is Laptop</t>
  </si>
  <si>
    <t>The product with the lowest revenue is Mouse</t>
  </si>
  <si>
    <t>The region with the highest revenue is the North</t>
  </si>
  <si>
    <t>The total company's revenue is $32, 805 and the person with the highest total revenue is David</t>
  </si>
  <si>
    <t>The average revenue per sale is $146.45</t>
  </si>
  <si>
    <t>The product with the highest number of unit sold is Mouse even though it is the product with the lowest generated revenue.</t>
  </si>
  <si>
    <t>Laptop generated the highest revenue despite selling fewer units than Mouse because of its much higher selling price.</t>
  </si>
  <si>
    <t>RECOMMENDATIONS</t>
  </si>
  <si>
    <t>1. Increase Laptop inventory.</t>
  </si>
  <si>
    <t>2. Bundle Mouse with Laptop purchases.</t>
  </si>
  <si>
    <t>3. Investigate South region.</t>
  </si>
  <si>
    <t>4. Reward David.</t>
  </si>
  <si>
    <t>5. Review pricing strategy for Mouse.</t>
  </si>
  <si>
    <t>Student</t>
  </si>
  <si>
    <t>Score</t>
  </si>
  <si>
    <t>Student Result</t>
  </si>
  <si>
    <t>Mary, James, and Ruth failed the assessment</t>
  </si>
  <si>
    <t>Sales</t>
  </si>
  <si>
    <t>Bonus Eligible</t>
  </si>
  <si>
    <t>Bonus Eligibility</t>
  </si>
  <si>
    <t>Promotion Candidate</t>
  </si>
  <si>
    <t>John, David, Sarah, Grace, Ruth, and Esther deserve recognition</t>
  </si>
  <si>
    <t>only 5 people are qualified for bonus</t>
  </si>
  <si>
    <t>Category</t>
  </si>
  <si>
    <t>Tablet</t>
  </si>
  <si>
    <t>Scanner</t>
  </si>
  <si>
    <t>Webcam</t>
  </si>
  <si>
    <t>SSD</t>
  </si>
  <si>
    <t>Router</t>
  </si>
  <si>
    <t>There are 2 high-value products, Printer, Keyboard, Mouse, Scanner, Webcan, and Router need more marketing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</si>
</sst>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176" formatCode="_(&quot;$&quot;* #,##0.00_);_(&quot;$&quot;* \(#,##0.00\);_(&quot;$&quot;* \-??_);_(@_)"/>
    <numFmt numFmtId="177" formatCode="[$$-409]#,##0.00;[Red]\-[$$-409]#,##0.00"/>
    <numFmt numFmtId="178" formatCode="_ &quot;$&quot;* #,##0.00_ ;_ &quot;$&quot;* \-#,##0.00_ ;_ &quot;$&quot;* &quot;-&quot;??_ ;_ @_ "/>
    <numFmt numFmtId="179" formatCode="_(&quot;$&quot;* #,##0_);_(&quot;$&quot;* \(#,##0\);_(&quot;$&quot;* \-??_);_(@_)"/>
    <numFmt numFmtId="180" formatCode="_([$$-409]* #,##0.00_);_([$$-409]* \(#,##0.00\);_([$$-409]* \-??_);_(@_)"/>
    <numFmt numFmtId="181" formatCode="0.0"/>
  </numFmts>
  <fonts count="28">
    <font>
      <sz val="11"/>
      <color theme="1"/>
      <name val="Aptos Narrow"/>
      <charset val="1"/>
    </font>
    <font>
      <b/>
      <sz val="11"/>
      <color theme="1"/>
      <name val="Aptos Narrow"/>
      <charset val="1"/>
    </font>
    <font>
      <b/>
      <sz val="16"/>
      <color theme="0"/>
      <name val="Aptos Narrow"/>
      <charset val="1"/>
    </font>
    <font>
      <sz val="11"/>
      <color theme="0"/>
      <name val="Aptos Narrow"/>
      <charset val="1"/>
    </font>
    <font>
      <b/>
      <sz val="14"/>
      <color theme="0"/>
      <name val="Aptos Narrow"/>
      <charset val="1"/>
    </font>
    <font>
      <b/>
      <sz val="26"/>
      <color theme="1"/>
      <name val="Aptos Narrow"/>
      <charset val="1"/>
    </font>
    <font>
      <i/>
      <sz val="11"/>
      <color theme="1"/>
      <name val="Aptos Narrow"/>
      <charset val="1"/>
    </font>
    <font>
      <sz val="10"/>
      <name val="Arial"/>
      <charset val="134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theme="1"/>
      <name val="Aptos Narrow"/>
      <charset val="134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5" tint="-0.25"/>
        <bgColor indexed="64"/>
      </patternFill>
    </fill>
    <fill>
      <patternFill patternType="solid">
        <fgColor theme="8" tint="0.5999"/>
        <bgColor rgb="FFCC99FF"/>
      </patternFill>
    </fill>
    <fill>
      <patternFill patternType="solid">
        <fgColor theme="8" tint="-0.25"/>
        <bgColor rgb="FF7030A0"/>
      </patternFill>
    </fill>
    <fill>
      <patternFill patternType="solid">
        <fgColor theme="3" tint="0.0999"/>
        <bgColor rgb="FF104862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0" fillId="0" borderId="0"/>
    <xf numFmtId="43" fontId="7" fillId="0" borderId="0" applyBorder="0" applyAlignment="0" applyProtection="0"/>
    <xf numFmtId="176" fontId="0" fillId="0" borderId="0" applyBorder="0" applyProtection="0"/>
    <xf numFmtId="9" fontId="7" fillId="0" borderId="0" applyBorder="0" applyAlignment="0" applyProtection="0"/>
    <xf numFmtId="41" fontId="7" fillId="0" borderId="0" applyBorder="0" applyAlignment="0" applyProtection="0"/>
    <xf numFmtId="42" fontId="7" fillId="0" borderId="0" applyBorder="0" applyAlignment="0" applyProtection="0"/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6" borderId="23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24" applyNumberFormat="0" applyFill="0" applyAlignment="0" applyProtection="0">
      <alignment vertical="center"/>
    </xf>
    <xf numFmtId="0" fontId="15" fillId="0" borderId="24" applyNumberFormat="0" applyFill="0" applyAlignment="0" applyProtection="0">
      <alignment vertical="center"/>
    </xf>
    <xf numFmtId="0" fontId="16" fillId="0" borderId="25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7" borderId="26" applyNumberFormat="0" applyAlignment="0" applyProtection="0">
      <alignment vertical="center"/>
    </xf>
    <xf numFmtId="0" fontId="18" fillId="8" borderId="27" applyNumberFormat="0" applyAlignment="0" applyProtection="0">
      <alignment vertical="center"/>
    </xf>
    <xf numFmtId="0" fontId="19" fillId="8" borderId="26" applyNumberFormat="0" applyAlignment="0" applyProtection="0">
      <alignment vertical="center"/>
    </xf>
    <xf numFmtId="0" fontId="20" fillId="9" borderId="28" applyNumberFormat="0" applyAlignment="0" applyProtection="0">
      <alignment vertical="center"/>
    </xf>
    <xf numFmtId="0" fontId="21" fillId="0" borderId="29" applyNumberFormat="0" applyFill="0" applyAlignment="0" applyProtection="0">
      <alignment vertical="center"/>
    </xf>
    <xf numFmtId="0" fontId="22" fillId="0" borderId="30" applyNumberFormat="0" applyFill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0" fillId="0" borderId="0" applyBorder="0" applyProtection="0"/>
    <xf numFmtId="0" fontId="0" fillId="0" borderId="0" applyBorder="0" applyProtection="0"/>
    <xf numFmtId="0" fontId="0" fillId="0" borderId="0" applyBorder="0" applyProtection="0"/>
    <xf numFmtId="0" fontId="0" fillId="0" borderId="0" applyBorder="0" applyProtection="0">
      <alignment horizontal="left"/>
    </xf>
    <xf numFmtId="0" fontId="1" fillId="0" borderId="0" applyBorder="0" applyProtection="0">
      <alignment horizontal="left"/>
    </xf>
    <xf numFmtId="0" fontId="1" fillId="0" borderId="0" applyBorder="0" applyProtection="0"/>
  </cellStyleXfs>
  <cellXfs count="98">
    <xf numFmtId="0" fontId="0" fillId="0" borderId="0" xfId="0"/>
    <xf numFmtId="0" fontId="1" fillId="0" borderId="0" xfId="0" applyFont="1" applyAlignment="1">
      <alignment horizontal="right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right" vertical="center" wrapText="1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right" vertical="center" wrapText="1"/>
    </xf>
    <xf numFmtId="0" fontId="0" fillId="0" borderId="0" xfId="0" applyAlignment="1">
      <alignment horizontal="center" vertical="center"/>
    </xf>
    <xf numFmtId="0" fontId="0" fillId="0" borderId="0" xfId="0" applyNumberFormat="1" applyAlignment="1">
      <alignment horizontal="right" vertical="center"/>
    </xf>
    <xf numFmtId="0" fontId="1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1" fillId="0" borderId="1" xfId="0" applyFont="1" applyBorder="1" applyAlignment="1">
      <alignment horizontal="center" wrapText="1"/>
    </xf>
    <xf numFmtId="0" fontId="0" fillId="0" borderId="1" xfId="0" applyFont="1" applyBorder="1" applyAlignment="1">
      <alignment horizontal="center" wrapText="1"/>
    </xf>
    <xf numFmtId="177" fontId="0" fillId="0" borderId="1" xfId="0" applyNumberFormat="1" applyFont="1" applyBorder="1" applyAlignment="1">
      <alignment horizontal="right" wrapText="1"/>
    </xf>
    <xf numFmtId="177" fontId="0" fillId="0" borderId="1" xfId="0" applyNumberFormat="1" applyBorder="1" applyAlignment="1">
      <alignment horizontal="right" wrapText="1"/>
    </xf>
    <xf numFmtId="177" fontId="0" fillId="0" borderId="0" xfId="0" applyNumberFormat="1"/>
    <xf numFmtId="0" fontId="0" fillId="0" borderId="1" xfId="0" applyBorder="1"/>
    <xf numFmtId="178" fontId="0" fillId="0" borderId="1" xfId="0" applyNumberFormat="1" applyBorder="1"/>
    <xf numFmtId="0" fontId="5" fillId="3" borderId="0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right" vertical="center" wrapText="1"/>
    </xf>
    <xf numFmtId="0" fontId="0" fillId="0" borderId="4" xfId="0" applyBorder="1"/>
    <xf numFmtId="0" fontId="0" fillId="0" borderId="5" xfId="51" applyFont="1" applyBorder="1"/>
    <xf numFmtId="0" fontId="0" fillId="0" borderId="6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179" fontId="0" fillId="0" borderId="1" xfId="2" applyNumberFormat="1" applyFont="1" applyBorder="1" applyAlignment="1" applyProtection="1">
      <alignment horizontal="right" vertical="center" wrapText="1"/>
    </xf>
    <xf numFmtId="179" fontId="0" fillId="0" borderId="7" xfId="2" applyNumberFormat="1" applyFont="1" applyBorder="1" applyAlignment="1" applyProtection="1"/>
    <xf numFmtId="0" fontId="0" fillId="0" borderId="8" xfId="52" applyFont="1" applyBorder="1">
      <alignment horizontal="left"/>
    </xf>
    <xf numFmtId="0" fontId="0" fillId="0" borderId="9" xfId="52" applyFont="1" applyBorder="1">
      <alignment horizontal="left"/>
    </xf>
    <xf numFmtId="0" fontId="0" fillId="0" borderId="10" xfId="0" applyFont="1" applyBorder="1" applyAlignment="1">
      <alignment vertical="center" wrapText="1"/>
    </xf>
    <xf numFmtId="0" fontId="0" fillId="0" borderId="11" xfId="0" applyBorder="1" applyAlignment="1">
      <alignment vertical="center" wrapText="1"/>
    </xf>
    <xf numFmtId="179" fontId="0" fillId="0" borderId="11" xfId="2" applyNumberFormat="1" applyFont="1" applyBorder="1" applyAlignment="1" applyProtection="1">
      <alignment horizontal="right" vertical="center" wrapText="1"/>
    </xf>
    <xf numFmtId="0" fontId="1" fillId="0" borderId="12" xfId="53" applyFont="1" applyBorder="1">
      <alignment horizontal="left"/>
    </xf>
    <xf numFmtId="0" fontId="0" fillId="0" borderId="6" xfId="0" applyFont="1" applyBorder="1"/>
    <xf numFmtId="0" fontId="0" fillId="0" borderId="10" xfId="0" applyFont="1" applyBorder="1"/>
    <xf numFmtId="179" fontId="0" fillId="0" borderId="13" xfId="2" applyNumberFormat="1" applyFont="1" applyBorder="1" applyAlignment="1" applyProtection="1"/>
    <xf numFmtId="0" fontId="0" fillId="0" borderId="0" xfId="0" applyFont="1" applyBorder="1"/>
    <xf numFmtId="0" fontId="1" fillId="0" borderId="0" xfId="0" applyFont="1" applyBorder="1" applyAlignment="1"/>
    <xf numFmtId="0" fontId="0" fillId="0" borderId="14" xfId="49" applyFont="1" applyBorder="1"/>
    <xf numFmtId="179" fontId="0" fillId="0" borderId="15" xfId="50" applyNumberFormat="1" applyBorder="1"/>
    <xf numFmtId="179" fontId="0" fillId="0" borderId="16" xfId="50" applyNumberFormat="1" applyBorder="1"/>
    <xf numFmtId="179" fontId="0" fillId="0" borderId="17" xfId="50" applyNumberFormat="1" applyBorder="1"/>
    <xf numFmtId="179" fontId="1" fillId="0" borderId="18" xfId="54" applyNumberFormat="1" applyBorder="1"/>
    <xf numFmtId="0" fontId="4" fillId="4" borderId="0" xfId="0" applyFont="1" applyFill="1" applyBorder="1" applyAlignment="1">
      <alignment horizontal="center" vertical="center"/>
    </xf>
    <xf numFmtId="0" fontId="0" fillId="3" borderId="0" xfId="0" applyFont="1" applyFill="1" applyAlignment="1">
      <alignment horizontal="center" vertical="center"/>
    </xf>
    <xf numFmtId="180" fontId="0" fillId="3" borderId="0" xfId="2" applyNumberFormat="1" applyFont="1" applyFill="1" applyBorder="1" applyAlignment="1" applyProtection="1">
      <alignment horizontal="center" vertical="center"/>
    </xf>
    <xf numFmtId="0" fontId="0" fillId="0" borderId="0" xfId="0" applyAlignment="1">
      <alignment horizontal="center" vertical="center"/>
    </xf>
    <xf numFmtId="179" fontId="0" fillId="0" borderId="0" xfId="2" applyNumberFormat="1" applyFont="1" applyBorder="1" applyAlignment="1" applyProtection="1">
      <alignment horizontal="center" vertical="center"/>
    </xf>
    <xf numFmtId="179" fontId="0" fillId="0" borderId="7" xfId="0" applyNumberFormat="1" applyBorder="1"/>
    <xf numFmtId="0" fontId="0" fillId="0" borderId="13" xfId="0" applyBorder="1"/>
    <xf numFmtId="0" fontId="0" fillId="0" borderId="19" xfId="52" applyFont="1" applyBorder="1">
      <alignment horizontal="left"/>
    </xf>
    <xf numFmtId="0" fontId="0" fillId="0" borderId="20" xfId="50" applyBorder="1"/>
    <xf numFmtId="0" fontId="1" fillId="0" borderId="18" xfId="54" applyBorder="1"/>
    <xf numFmtId="0" fontId="4" fillId="5" borderId="0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179" fontId="0" fillId="0" borderId="1" xfId="2" applyNumberFormat="1" applyFont="1" applyBorder="1" applyAlignment="1" applyProtection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6" xfId="0" applyFont="1" applyBorder="1" applyAlignment="1">
      <alignment horizontal="center" vertical="center"/>
    </xf>
    <xf numFmtId="0" fontId="0" fillId="0" borderId="10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11" xfId="0" applyFont="1" applyBorder="1" applyAlignment="1">
      <alignment horizontal="center" vertical="center" wrapText="1"/>
    </xf>
    <xf numFmtId="179" fontId="0" fillId="0" borderId="11" xfId="2" applyNumberFormat="1" applyFont="1" applyBorder="1" applyAlignment="1" applyProtection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21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Font="1"/>
    <xf numFmtId="0" fontId="0" fillId="0" borderId="7" xfId="0" applyBorder="1" applyAlignment="1">
      <alignment horizontal="center" vertical="center"/>
    </xf>
    <xf numFmtId="0" fontId="0" fillId="0" borderId="0" xfId="0" applyFont="1" applyAlignment="1">
      <alignment horizontal="left"/>
    </xf>
    <xf numFmtId="179" fontId="0" fillId="0" borderId="0" xfId="0" applyNumberFormat="1"/>
    <xf numFmtId="179" fontId="0" fillId="0" borderId="7" xfId="2" applyNumberFormat="1" applyFont="1" applyBorder="1" applyAlignment="1" applyProtection="1">
      <alignment horizontal="right" vertical="center"/>
    </xf>
    <xf numFmtId="0" fontId="0" fillId="0" borderId="13" xfId="0" applyBorder="1" applyAlignment="1">
      <alignment horizontal="center" vertical="center"/>
    </xf>
    <xf numFmtId="179" fontId="0" fillId="0" borderId="13" xfId="2" applyNumberFormat="1" applyFont="1" applyBorder="1" applyAlignment="1" applyProtection="1">
      <alignment horizontal="right" vertical="center"/>
    </xf>
    <xf numFmtId="181" fontId="0" fillId="0" borderId="13" xfId="0" applyNumberFormat="1" applyBorder="1" applyAlignment="1">
      <alignment horizontal="center" vertical="center"/>
    </xf>
    <xf numFmtId="0" fontId="1" fillId="0" borderId="22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0" fontId="6" fillId="0" borderId="1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0" xfId="0" applyBorder="1" applyAlignment="1">
      <alignment horizontal="left" vertical="center" wrapText="1"/>
    </xf>
    <xf numFmtId="0" fontId="0" fillId="0" borderId="0" xfId="0" applyBorder="1" applyAlignment="1">
      <alignment horizontal="left"/>
    </xf>
    <xf numFmtId="0" fontId="0" fillId="0" borderId="0" xfId="0" applyBorder="1"/>
    <xf numFmtId="0" fontId="0" fillId="0" borderId="2" xfId="0" applyFont="1" applyBorder="1"/>
    <xf numFmtId="0" fontId="0" fillId="0" borderId="3" xfId="0" applyBorder="1" applyAlignment="1">
      <alignment horizontal="center" vertical="center" wrapText="1"/>
    </xf>
    <xf numFmtId="2" fontId="0" fillId="0" borderId="3" xfId="0" applyNumberFormat="1" applyBorder="1" applyAlignment="1">
      <alignment horizontal="center" vertical="center" wrapText="1"/>
    </xf>
    <xf numFmtId="0" fontId="0" fillId="0" borderId="7" xfId="0" applyBorder="1"/>
  </cellXfs>
  <cellStyles count="55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Pivot Table Corner" xfId="49"/>
    <cellStyle name="Pivot Table Value" xfId="50"/>
    <cellStyle name="Pivot Table Field" xfId="51"/>
    <cellStyle name="Pivot Table Category" xfId="52"/>
    <cellStyle name="Pivot Table Title" xfId="53"/>
    <cellStyle name="Pivot Table Result" xfId="54"/>
  </cellStyles>
  <dxfs count="39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78" formatCode="_ &quot;$&quot;* #,##0.00_ ;_ &quot;$&quot;* \-#,##0.00_ ;_ &quot;$&quot;* &quot;-&quot;??_ ;_ @_ "/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/>
    <dxf>
      <numFmt numFmtId="178" formatCode="_ &quot;$&quot;* #,##0.00_ ;_ &quot;$&quot;* \-#,##0.00_ ;_ &quot;$&quot;* &quot;-&quot;??_ ;_ @_ "/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/>
    <dxf>
      <font>
        <name val="Aptos Narrow"/>
        <scheme val="none"/>
        <charset val="1"/>
        <family val="2"/>
        <b val="0"/>
        <i val="0"/>
        <strike val="0"/>
        <u val="none"/>
        <sz val="11"/>
        <color theme="1"/>
      </font>
      <alignment horizont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ptos Narrow"/>
        <scheme val="none"/>
        <charset val="1"/>
        <family val="2"/>
        <b val="0"/>
        <i val="0"/>
        <strike val="0"/>
        <u val="none"/>
        <sz val="11"/>
        <color theme="1"/>
      </font>
      <alignment horizont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ptos Narrow"/>
        <scheme val="none"/>
        <charset val="1"/>
        <family val="2"/>
        <b val="0"/>
        <i val="0"/>
        <strike val="0"/>
        <u val="none"/>
        <sz val="11"/>
        <color theme="1"/>
      </font>
      <alignment horizont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ptos Narrow"/>
        <scheme val="none"/>
        <charset val="1"/>
        <family val="2"/>
        <b val="0"/>
        <i val="0"/>
        <strike val="0"/>
        <u val="none"/>
        <sz val="11"/>
        <color theme="1"/>
      </font>
      <alignment horizont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ptos Narrow"/>
        <scheme val="none"/>
        <charset val="1"/>
        <family val="2"/>
        <b val="0"/>
        <i val="0"/>
        <strike val="0"/>
        <u val="none"/>
        <sz val="11"/>
        <color theme="1"/>
      </font>
      <alignment horizont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ptos Narrow"/>
        <scheme val="none"/>
        <charset val="1"/>
        <family val="2"/>
        <b val="0"/>
        <i val="0"/>
        <strike val="0"/>
        <u val="none"/>
        <sz val="11"/>
        <color theme="1"/>
      </font>
      <numFmt numFmtId="177" formatCode="[$$-409]#,##0.00;[Red]\-[$$-409]#,##0.00"/>
      <alignment horizontal="right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77" formatCode="[$$-409]#,##0.00;[Red]\-[$$-409]#,##0.00"/>
      <alignment horizontal="right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 wrapText="1"/>
    </dxf>
    <dxf>
      <alignment horizontal="center" vertical="center" wrapText="1"/>
    </dxf>
    <dxf>
      <numFmt numFmtId="0" formatCode="General"/>
      <alignment horizontal="right" vertical="center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28"/>
      <tableStyleElement type="headerRow" dxfId="27"/>
      <tableStyleElement type="totalRow" dxfId="26"/>
      <tableStyleElement type="firstColumn" dxfId="25"/>
      <tableStyleElement type="lastColumn" dxfId="24"/>
      <tableStyleElement type="firstRowStripe" dxfId="23"/>
      <tableStyleElement type="firstColumnStripe" dxfId="22"/>
    </tableStyle>
    <tableStyle name="PivotStylePreset2_Accent1" table="0" count="10" xr9:uid="{267968C8-6FFD-4C36-ACC1-9EA1FD1885CA}">
      <tableStyleElement type="headerRow" dxfId="38"/>
      <tableStyleElement type="totalRow" dxfId="37"/>
      <tableStyleElement type="firstRowStripe" dxfId="36"/>
      <tableStyleElement type="firstColumnStripe" dxfId="35"/>
      <tableStyleElement type="firstSubtotalRow" dxfId="34"/>
      <tableStyleElement type="secondSubtotalRow" dxfId="33"/>
      <tableStyleElement type="firstRowSubheading" dxfId="32"/>
      <tableStyleElement type="secondRowSubheading" dxfId="31"/>
      <tableStyleElement type="pageFieldLabels" dxfId="30"/>
      <tableStyleElement type="pageFieldValues" dxfId="29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7030A0"/>
      <rgbColor rgb="00008080"/>
      <rgbColor rgb="00BFBFBF"/>
      <rgbColor rgb="00808080"/>
      <rgbColor rgb="009999FF"/>
      <rgbColor rgb="0078206E"/>
      <rgbColor rgb="00F2F2F2"/>
      <rgbColor rgb="00CCFFFF"/>
      <rgbColor rgb="00660066"/>
      <rgbColor rgb="00D86ECC"/>
      <rgbColor rgb="00004586"/>
      <rgbColor rgb="00CADFF4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D9D9D9"/>
      <rgbColor rgb="00FFFF99"/>
      <rgbColor rgb="0099CCFF"/>
      <rgbColor rgb="00E59EDD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595959"/>
      <rgbColor rgb="00B3B3B3"/>
      <rgbColor rgb="00163E64"/>
      <rgbColor rgb="00339966"/>
      <rgbColor rgb="000E2841"/>
      <rgbColor rgb="00333300"/>
      <rgbColor rgb="00993300"/>
      <rgbColor rgb="007030A0"/>
      <rgbColor rgb="00104862"/>
      <rgbColor rgb="00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0" Type="http://schemas.openxmlformats.org/officeDocument/2006/relationships/styles" Target="styles.xml"/><Relationship Id="rId2" Type="http://schemas.openxmlformats.org/officeDocument/2006/relationships/worksheet" Target="worksheets/sheet2.xml"/><Relationship Id="rId19" Type="http://schemas.openxmlformats.org/officeDocument/2006/relationships/sheetMetadata" Target="metadata.xml"/><Relationship Id="rId18" Type="http://schemas.openxmlformats.org/officeDocument/2006/relationships/sharedStrings" Target="sharedStrings.xml"/><Relationship Id="rId17" Type="http://schemas.openxmlformats.org/officeDocument/2006/relationships/theme" Target="theme/theme1.xml"/><Relationship Id="rId16" Type="http://schemas.openxmlformats.org/officeDocument/2006/relationships/pivotCacheDefinition" Target="pivotCache/pivotCacheDefinition4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GB" sz="1300" b="0" i="0" u="none" strike="noStrike" kern="1200" baseline="0">
                <a:solidFill>
                  <a:schemeClr val="tx1"/>
                </a:solidFill>
                <a:uFillTx/>
                <a:latin typeface="Arial" panose="020B0604020202020204"/>
                <a:ea typeface="+mn-ea"/>
                <a:cs typeface="+mn-cs"/>
              </a:defRPr>
            </a:pPr>
            <a:r>
              <a:rPr lang="en-US" sz="1260" b="1" u="none" strike="noStrike">
                <a:solidFill>
                  <a:schemeClr val="tx1">
                    <a:lumMod val="75000"/>
                    <a:lumOff val="25000"/>
                  </a:schemeClr>
                </a:solidFill>
                <a:uFillTx/>
                <a:latin typeface="Aptos Narrow"/>
              </a:rPr>
              <a:t>Revenue by Product</a:t>
            </a:r>
            <a:endParaRPr lang="en-US" sz="1260" b="1" u="none" strike="noStrike">
              <a:solidFill>
                <a:schemeClr val="tx1">
                  <a:lumMod val="75000"/>
                  <a:lumOff val="25000"/>
                </a:schemeClr>
              </a:solidFill>
              <a:uFillTx/>
              <a:latin typeface="Aptos Narrow"/>
            </a:endParaRP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Analysis'!$I$4</c:f>
              <c:strCache>
                <c:ptCount val="1"/>
                <c:pt idx="0">
                  <c:v>Revenue per Product</c:v>
                </c:pt>
              </c:strCache>
            </c:strRef>
          </c:tx>
          <c:spPr>
            <a:solidFill>
              <a:srgbClr val="7030A0">
                <a:alpha val="85000"/>
              </a:srgbClr>
            </a:solidFill>
            <a:ln w="9360">
              <a:solidFill>
                <a:schemeClr val="accent1">
                  <a:lumMod val="75000"/>
                </a:schemeClr>
              </a:solidFill>
              <a:round/>
            </a:ln>
          </c:spPr>
          <c:invertIfNegative val="0"/>
          <c:dLbls>
            <c:numFmt formatCode="_(&quot;$&quot;* #,##0_);_(&quot;$&quot;* \(#,##0\);_(&quot;$&quot;* \-??_);_(@_)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05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uFillTx/>
                    <a:latin typeface="Aptos Narrow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0" cap="flat" cmpd="sng" algn="ctr">
                      <a:solidFill>
                        <a:schemeClr val="accent1">
                          <a:lumMod val="75000"/>
                        </a:schemeClr>
                      </a:solidFill>
                      <a:prstDash val="solid"/>
                      <a:round/>
                    </a:ln>
                  </c:spPr>
                </c15:leaderLines>
              </c:ext>
            </c:extLst>
          </c:dLbls>
          <c:cat>
            <c:strRef>
              <c:f>'Sales Analysis'!$H$5:$H$10</c:f>
              <c:strCache>
                <c:ptCount val="6"/>
                <c:pt idx="0">
                  <c:v>Laptop</c:v>
                </c:pt>
                <c:pt idx="1">
                  <c:v>Monitor</c:v>
                </c:pt>
                <c:pt idx="2">
                  <c:v>Printer</c:v>
                </c:pt>
                <c:pt idx="3">
                  <c:v>Keyboard</c:v>
                </c:pt>
                <c:pt idx="4">
                  <c:v>Mouse</c:v>
                </c:pt>
                <c:pt idx="5">
                  <c:v>Total Result</c:v>
                </c:pt>
              </c:strCache>
            </c:strRef>
          </c:cat>
          <c:val>
            <c:numRef>
              <c:f>'Sales Analysis'!$I$5:$I$10</c:f>
              <c:numCache>
                <c:formatCode>_("$"* #,##0_);_("$"* \(#,##0\);_("$"* \-??_);_(@_)</c:formatCode>
                <c:ptCount val="6"/>
                <c:pt idx="0">
                  <c:v>52500</c:v>
                </c:pt>
                <c:pt idx="1">
                  <c:v>11400</c:v>
                </c:pt>
                <c:pt idx="2">
                  <c:v>9600</c:v>
                </c:pt>
                <c:pt idx="3">
                  <c:v>4500</c:v>
                </c:pt>
                <c:pt idx="4">
                  <c:v>3000</c:v>
                </c:pt>
                <c:pt idx="5">
                  <c:v>81000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1"/>
        </c:dLbls>
        <c:gapWidth val="65"/>
        <c:overlap val="0"/>
        <c:axId val="73051653"/>
        <c:axId val="97814726"/>
      </c:barChart>
      <c:catAx>
        <c:axId val="73051653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GB" sz="1300" b="0" i="0" u="none" strike="noStrike" kern="1200" baseline="0">
                    <a:solidFill>
                      <a:schemeClr val="tx1"/>
                    </a:solidFill>
                    <a:uFillTx/>
                    <a:latin typeface="Arial" panose="020B0604020202020204"/>
                    <a:ea typeface="+mn-ea"/>
                    <a:cs typeface="+mn-cs"/>
                  </a:defRPr>
                </a:pPr>
                <a:r>
                  <a:rPr lang="en-US" sz="1050" b="1" u="none" strike="noStrike">
                    <a:solidFill>
                      <a:schemeClr val="tx1">
                        <a:lumMod val="75000"/>
                        <a:lumOff val="25000"/>
                      </a:schemeClr>
                    </a:solidFill>
                    <a:uFillTx/>
                    <a:latin typeface="Aptos Narrow"/>
                  </a:rPr>
                  <a:t>Products</a:t>
                </a:r>
                <a:endParaRPr lang="en-US" sz="1050" b="1" u="none" strike="noStrike">
                  <a:solidFill>
                    <a:schemeClr val="tx1">
                      <a:lumMod val="75000"/>
                      <a:lumOff val="25000"/>
                    </a:schemeClr>
                  </a:solidFill>
                  <a:uFillTx/>
                  <a:latin typeface="Aptos Narrow"/>
                </a:endParaRP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19080" cap="flat" cmpd="sng" algn="ctr">
            <a:solidFill>
              <a:schemeClr val="dk1">
                <a:lumMod val="75000"/>
                <a:lumOff val="2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GB" sz="105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uFillTx/>
                <a:latin typeface="Aptos Narrow"/>
                <a:ea typeface="+mn-ea"/>
                <a:cs typeface="+mn-cs"/>
              </a:defRPr>
            </a:pPr>
          </a:p>
        </c:txPr>
        <c:crossAx val="97814726"/>
        <c:crosses val="autoZero"/>
        <c:auto val="1"/>
        <c:lblAlgn val="ctr"/>
        <c:lblOffset val="100"/>
        <c:noMultiLvlLbl val="0"/>
      </c:catAx>
      <c:valAx>
        <c:axId val="97814726"/>
        <c:scaling>
          <c:orientation val="minMax"/>
        </c:scaling>
        <c:delete val="0"/>
        <c:axPos val="l"/>
        <c:majorGridlines>
          <c:spPr>
            <a:ln w="9360" cap="flat" cmpd="sng" algn="ctr">
              <a:solidFill>
                <a:schemeClr val="lt1">
                  <a:lumMod val="9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GB" sz="1300" b="0" i="0" u="none" strike="noStrike" kern="1200" baseline="0">
                    <a:solidFill>
                      <a:schemeClr val="tx1"/>
                    </a:solidFill>
                    <a:uFillTx/>
                    <a:latin typeface="Arial" panose="020B0604020202020204"/>
                    <a:ea typeface="+mn-ea"/>
                    <a:cs typeface="+mn-cs"/>
                  </a:defRPr>
                </a:pPr>
                <a:r>
                  <a:rPr lang="en-US" sz="1050" b="1" u="none" strike="noStrike">
                    <a:solidFill>
                      <a:schemeClr val="tx1">
                        <a:lumMod val="75000"/>
                        <a:lumOff val="25000"/>
                      </a:schemeClr>
                    </a:solidFill>
                    <a:uFillTx/>
                    <a:latin typeface="Aptos Narrow"/>
                  </a:rPr>
                  <a:t>Revenue</a:t>
                </a:r>
                <a:endParaRPr lang="en-US" sz="1050" b="1" u="none" strike="noStrike">
                  <a:solidFill>
                    <a:schemeClr val="tx1">
                      <a:lumMod val="75000"/>
                      <a:lumOff val="25000"/>
                    </a:schemeClr>
                  </a:solidFill>
                  <a:uFillTx/>
                  <a:latin typeface="Aptos Narrow"/>
                </a:endParaRPr>
              </a:p>
              <a:p>
                <a:pPr>
                  <a:defRPr lang="en-GB" sz="1300" b="0" i="0" u="none" strike="noStrike" kern="1200" baseline="0">
                    <a:solidFill>
                      <a:schemeClr val="tx1"/>
                    </a:solidFill>
                    <a:uFillTx/>
                    <a:latin typeface="Arial" panose="020B0604020202020204"/>
                    <a:ea typeface="+mn-ea"/>
                    <a:cs typeface="+mn-cs"/>
                  </a:defRPr>
                </a:pP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_(&quot;$&quot;* #,##0_);_(&quot;$&quot;* \(#,##0\);_(&quot;$&quot;* \-??_);_(@_)" sourceLinked="0"/>
        <c:majorTickMark val="none"/>
        <c:minorTickMark val="none"/>
        <c:tickLblPos val="nextTo"/>
        <c:spPr>
          <a:ln w="12600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GB" sz="105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uFillTx/>
                <a:latin typeface="Aptos Narrow"/>
                <a:ea typeface="+mn-ea"/>
                <a:cs typeface="+mn-cs"/>
              </a:defRPr>
            </a:pPr>
          </a:p>
        </c:txPr>
        <c:crossAx val="7305165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0"/>
    <c:extLst>
      <c:ext uri="{0b15fc19-7d7d-44ad-8c2d-2c3a37ce22c3}">
        <chartProps xmlns="https://web.wps.cn/et/2018/main" chartId="{c3b90082-628b-4008-94c9-256a09efdb53}"/>
      </c:ext>
    </c:extLst>
  </c:chart>
  <c:spPr>
    <a:solidFill>
      <a:srgbClr val="FFFFFF"/>
    </a:solidFill>
    <a:ln w="9360" cap="flat" cmpd="sng" algn="ctr">
      <a:solidFill>
        <a:schemeClr val="dk1">
          <a:lumMod val="25000"/>
          <a:lumOff val="75000"/>
        </a:schemeClr>
      </a:solidFill>
      <a:prstDash val="solid"/>
      <a:round/>
    </a:ln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GB" sz="1300" b="0" i="0" u="none" strike="noStrike" kern="1200" baseline="0">
                <a:solidFill>
                  <a:schemeClr val="tx1"/>
                </a:solidFill>
                <a:uFillTx/>
                <a:latin typeface="Arial" panose="020B0604020202020204"/>
                <a:ea typeface="+mn-ea"/>
                <a:cs typeface="+mn-cs"/>
              </a:defRPr>
            </a:pPr>
            <a:r>
              <a:rPr lang="en-US" sz="1600" b="1" u="none" strike="noStrike">
                <a:solidFill>
                  <a:srgbClr val="0E2841"/>
                </a:solidFill>
                <a:uFillTx/>
                <a:latin typeface="Aptos Narrow"/>
              </a:rPr>
              <a:t>Average Salary by Department</a:t>
            </a:r>
            <a:endParaRPr lang="en-US" sz="1600" b="1" u="none" strike="noStrike">
              <a:solidFill>
                <a:srgbClr val="0E2841"/>
              </a:solidFill>
              <a:uFillTx/>
              <a:latin typeface="Aptos Narrow"/>
            </a:endParaRP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'Employee Performance'!$L$4</c:f>
              <c:strCache>
                <c:ptCount val="1"/>
                <c:pt idx="0">
                  <c:v>Average Salary</c:v>
                </c:pt>
              </c:strCache>
            </c:strRef>
          </c:tx>
          <c:spPr>
            <a:solidFill>
              <a:srgbClr val="D86ECC"/>
            </a:solidFill>
            <a:ln w="12600">
              <a:noFill/>
            </a:ln>
          </c:spPr>
          <c:invertIfNegative val="0"/>
          <c:dLbls>
            <c:numFmt formatCode="_(&quot;$&quot;* #,##0_);_(&quot;$&quot;* \(#,##0\);_(&quot;$&quot;* \-??_);_(@_)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05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uFillTx/>
                    <a:latin typeface="Aptos Narrow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0" cap="flat" cmpd="sng" algn="ctr">
                      <a:solidFill>
                        <a:srgbClr val="000000"/>
                      </a:solidFill>
                      <a:prstDash val="solid"/>
                      <a:round/>
                    </a:ln>
                  </c:spPr>
                </c15:leaderLines>
              </c:ext>
            </c:extLst>
          </c:dLbls>
          <c:cat>
            <c:strRef>
              <c:f>'Employee Performance'!$K$5:$K$8</c:f>
              <c:strCache>
                <c:ptCount val="4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Grand Total</c:v>
                </c:pt>
              </c:strCache>
            </c:strRef>
          </c:cat>
          <c:val>
            <c:numRef>
              <c:f>'Employee Performance'!$L$5:$L$8</c:f>
              <c:numCache>
                <c:formatCode>_("$"* #,##0_);_("$"* \(#,##0\);_("$"* \-??_);_(@_)</c:formatCode>
                <c:ptCount val="4"/>
                <c:pt idx="0">
                  <c:v>7233.33333333333</c:v>
                </c:pt>
                <c:pt idx="1">
                  <c:v>5850</c:v>
                </c:pt>
                <c:pt idx="2">
                  <c:v>8500</c:v>
                </c:pt>
                <c:pt idx="3">
                  <c:v>7060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1"/>
        </c:dLbls>
        <c:gapWidth val="150"/>
        <c:overlap val="0"/>
        <c:axId val="97398177"/>
        <c:axId val="67734688"/>
      </c:barChart>
      <c:catAx>
        <c:axId val="97398177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GB" sz="1300" b="0" i="0" u="none" strike="noStrike" kern="1200" baseline="0">
                    <a:solidFill>
                      <a:schemeClr val="tx1"/>
                    </a:solidFill>
                    <a:uFillTx/>
                    <a:latin typeface="Arial" panose="020B0604020202020204"/>
                    <a:ea typeface="+mn-ea"/>
                    <a:cs typeface="+mn-cs"/>
                  </a:defRPr>
                </a:pPr>
                <a:r>
                  <a:rPr lang="en-US" sz="1100" b="1" u="none" strike="noStrike">
                    <a:solidFill>
                      <a:schemeClr val="tx1">
                        <a:lumMod val="65000"/>
                        <a:lumOff val="35000"/>
                      </a:schemeClr>
                    </a:solidFill>
                    <a:uFillTx/>
                    <a:latin typeface="Aptos Narrow"/>
                  </a:rPr>
                  <a:t>Department</a:t>
                </a:r>
                <a:endParaRPr lang="en-US" sz="1100" b="1" u="none" strike="noStrike">
                  <a:solidFill>
                    <a:schemeClr val="tx1">
                      <a:lumMod val="65000"/>
                      <a:lumOff val="35000"/>
                    </a:schemeClr>
                  </a:solidFill>
                  <a:uFillTx/>
                  <a:latin typeface="Aptos Narrow"/>
                </a:endParaRP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12600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GB"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Aptos Narrow"/>
                <a:ea typeface="+mn-ea"/>
                <a:cs typeface="+mn-cs"/>
              </a:defRPr>
            </a:pPr>
          </a:p>
        </c:txPr>
        <c:crossAx val="67734688"/>
        <c:crosses val="autoZero"/>
        <c:auto val="1"/>
        <c:lblAlgn val="ctr"/>
        <c:lblOffset val="100"/>
        <c:noMultiLvlLbl val="0"/>
      </c:catAx>
      <c:valAx>
        <c:axId val="67734688"/>
        <c:scaling>
          <c:orientation val="minMax"/>
        </c:scaling>
        <c:delete val="0"/>
        <c:axPos val="b"/>
        <c:majorGridlines>
          <c:spPr>
            <a:ln w="9360" cap="flat" cmpd="sng" algn="ctr">
              <a:solidFill>
                <a:schemeClr val="dk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GB" sz="1300" b="0" i="0" u="none" strike="noStrike" kern="1200" baseline="0">
                    <a:solidFill>
                      <a:schemeClr val="tx1"/>
                    </a:solidFill>
                    <a:uFillTx/>
                    <a:latin typeface="Arial" panose="020B0604020202020204"/>
                    <a:ea typeface="+mn-ea"/>
                    <a:cs typeface="+mn-cs"/>
                  </a:defRPr>
                </a:pPr>
                <a:r>
                  <a:rPr lang="en-US" sz="1100" b="1" u="none" strike="noStrike">
                    <a:solidFill>
                      <a:schemeClr val="tx1">
                        <a:lumMod val="65000"/>
                        <a:lumOff val="35000"/>
                      </a:schemeClr>
                    </a:solidFill>
                    <a:uFillTx/>
                    <a:latin typeface="Aptos Narrow"/>
                  </a:rPr>
                  <a:t>Average Salary</a:t>
                </a:r>
                <a:endParaRPr lang="en-US" sz="1100" b="1" u="none" strike="noStrike">
                  <a:solidFill>
                    <a:schemeClr val="tx1">
                      <a:lumMod val="65000"/>
                      <a:lumOff val="35000"/>
                    </a:schemeClr>
                  </a:solidFill>
                  <a:uFillTx/>
                  <a:latin typeface="Aptos Narrow"/>
                </a:endParaRP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_(&quot;$&quot;* #,##0_);_(&quot;$&quot;* \(#,##0\);_(&quot;$&quot;* \-??_);_(@_)" sourceLinked="0"/>
        <c:majorTickMark val="out"/>
        <c:minorTickMark val="none"/>
        <c:tickLblPos val="nextTo"/>
        <c:spPr>
          <a:ln w="12600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GB"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Aptos Narrow"/>
                <a:ea typeface="+mn-ea"/>
                <a:cs typeface="+mn-cs"/>
              </a:defRPr>
            </a:pPr>
          </a:p>
        </c:txPr>
        <c:crossAx val="9739817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0"/>
    <c:extLst>
      <c:ext uri="{0b15fc19-7d7d-44ad-8c2d-2c3a37ce22c3}">
        <chartProps xmlns="https://web.wps.cn/et/2018/main" chartId="{e9690f94-f575-4e65-aed4-f76a929a66f4}"/>
      </c:ext>
    </c:extLst>
  </c:chart>
  <c:spPr>
    <a:solidFill>
      <a:srgbClr val="FFFFFF"/>
    </a:solidFill>
    <a:ln w="9360" cap="flat" cmpd="sng" algn="ctr">
      <a:solidFill>
        <a:schemeClr val="dk1">
          <a:lumMod val="15000"/>
          <a:lumOff val="85000"/>
        </a:schemeClr>
      </a:solidFill>
      <a:prstDash val="solid"/>
      <a:round/>
    </a:ln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GB" sz="1300" b="0" i="0" u="none" strike="noStrike" kern="1200" baseline="0">
                <a:solidFill>
                  <a:schemeClr val="tx1"/>
                </a:solidFill>
                <a:uFillTx/>
                <a:latin typeface="Arial" panose="020B0604020202020204"/>
                <a:ea typeface="+mn-ea"/>
                <a:cs typeface="+mn-cs"/>
              </a:defRPr>
            </a:pPr>
            <a:r>
              <a:rPr lang="en-US" sz="1600" b="1" u="none" strike="noStrike">
                <a:solidFill>
                  <a:schemeClr val="tx2"/>
                </a:solidFill>
                <a:uFillTx/>
                <a:latin typeface="Aptos Narrow"/>
              </a:rPr>
              <a:t>Average Math Score by Class</a:t>
            </a:r>
            <a:endParaRPr lang="en-US" sz="1600" b="1" u="none" strike="noStrike">
              <a:solidFill>
                <a:schemeClr val="tx2"/>
              </a:solidFill>
              <a:uFillTx/>
              <a:latin typeface="Aptos Narrow"/>
            </a:endParaRP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7030A0"/>
            </a:solidFill>
            <a:ln w="12600">
              <a:noFill/>
            </a:ln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050" b="1" i="0" u="none" strike="noStrike" kern="1200" baseline="0">
                    <a:solidFill>
                      <a:schemeClr val="tx2"/>
                    </a:solidFill>
                    <a:uFillTx/>
                    <a:latin typeface="Aptos Narrow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0" cap="flat" cmpd="sng" algn="ctr">
                      <a:solidFill>
                        <a:srgbClr val="000000"/>
                      </a:solidFill>
                      <a:prstDash val="solid"/>
                      <a:round/>
                    </a:ln>
                  </c:spPr>
                </c15:leaderLines>
              </c:ext>
            </c:extLst>
          </c:dLbls>
          <c:cat>
            <c:strRef>
              <c:f>'Student Performance'!$O$13:$O$14</c:f>
              <c:strCache>
                <c:ptCount val="2"/>
                <c:pt idx="0">
                  <c:v>Average Math score for Grade 5</c:v>
                </c:pt>
                <c:pt idx="1">
                  <c:v>Average Math score for Grade 6</c:v>
                </c:pt>
              </c:strCache>
            </c:strRef>
          </c:cat>
          <c:val>
            <c:numRef>
              <c:f>'Student Performance'!$P$13:$P$14</c:f>
              <c:numCache>
                <c:formatCode>General</c:formatCode>
                <c:ptCount val="2"/>
                <c:pt idx="0">
                  <c:v>88.8</c:v>
                </c:pt>
                <c:pt idx="1">
                  <c:v>77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1"/>
        </c:dLbls>
        <c:gapWidth val="150"/>
        <c:overlap val="0"/>
        <c:axId val="38854020"/>
        <c:axId val="64089399"/>
      </c:barChart>
      <c:catAx>
        <c:axId val="3885402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 cap="flat" cmpd="sng" algn="ctr">
            <a:solidFill>
              <a:schemeClr val="dk2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GB" sz="1050" b="0" i="0" u="none" strike="noStrike" kern="1200" baseline="0">
                <a:solidFill>
                  <a:schemeClr val="tx2"/>
                </a:solidFill>
                <a:uFillTx/>
                <a:latin typeface="Aptos Narrow"/>
                <a:ea typeface="+mn-ea"/>
                <a:cs typeface="+mn-cs"/>
              </a:defRPr>
            </a:pPr>
          </a:p>
        </c:txPr>
        <c:crossAx val="64089399"/>
        <c:crosses val="autoZero"/>
        <c:auto val="1"/>
        <c:lblAlgn val="ctr"/>
        <c:lblOffset val="100"/>
        <c:noMultiLvlLbl val="0"/>
      </c:catAx>
      <c:valAx>
        <c:axId val="64089399"/>
        <c:scaling>
          <c:orientation val="minMax"/>
        </c:scaling>
        <c:delete val="0"/>
        <c:axPos val="l"/>
        <c:majorGridlines>
          <c:spPr>
            <a:ln w="9360" cap="flat" cmpd="sng" algn="ctr">
              <a:solidFill>
                <a:schemeClr val="lt1">
                  <a:lumMod val="95000"/>
                </a:schemeClr>
              </a:solidFill>
              <a:prstDash val="solid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GB" sz="1050" b="0" i="0" u="none" strike="noStrike" kern="1200" baseline="0">
                <a:solidFill>
                  <a:schemeClr val="tx2"/>
                </a:solidFill>
                <a:uFillTx/>
                <a:latin typeface="Aptos Narrow"/>
                <a:ea typeface="+mn-ea"/>
                <a:cs typeface="+mn-cs"/>
              </a:defRPr>
            </a:pPr>
          </a:p>
        </c:txPr>
        <c:crossAx val="3885402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0"/>
    <c:extLst>
      <c:ext uri="{0b15fc19-7d7d-44ad-8c2d-2c3a37ce22c3}">
        <chartProps xmlns="https://web.wps.cn/et/2018/main" chartId="{b226bcdc-1fc9-4405-a21e-ee50975e9bce}"/>
      </c:ext>
    </c:extLst>
  </c:chart>
  <c:spPr>
    <a:solidFill>
      <a:srgbClr val="FFFFFF"/>
    </a:solidFill>
    <a:ln w="9360" cap="flat" cmpd="sng" algn="ctr">
      <a:solidFill>
        <a:schemeClr val="lt1">
          <a:lumMod val="95000"/>
        </a:schemeClr>
      </a:solidFill>
      <a:prstDash val="solid"/>
      <a:round/>
    </a:ln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GB" sz="1300" b="0" i="0" u="none" strike="noStrike" kern="1200" baseline="0">
                <a:solidFill>
                  <a:schemeClr val="tx1"/>
                </a:solidFill>
                <a:uFillTx/>
                <a:latin typeface="Arial" panose="020B0604020202020204"/>
                <a:ea typeface="+mn-ea"/>
                <a:cs typeface="+mn-cs"/>
              </a:defRPr>
            </a:pPr>
            <a:r>
              <a:rPr lang="en-US" sz="14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Aptos Narrow"/>
              </a:rPr>
              <a:t>Number of Employee By Department</a:t>
            </a:r>
            <a:endParaRPr lang="en-US" sz="1400" b="0" u="none" strike="noStrike">
              <a:solidFill>
                <a:schemeClr val="tx1">
                  <a:lumMod val="65000"/>
                  <a:lumOff val="35000"/>
                </a:schemeClr>
              </a:solidFill>
              <a:uFillTx/>
              <a:latin typeface="Aptos Narrow"/>
            </a:endParaRP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'Employee Data'!$L$3</c:f>
              <c:strCache>
                <c:ptCount val="1"/>
                <c:pt idx="0">
                  <c:v>Number of Employee</c:v>
                </c:pt>
              </c:strCache>
            </c:strRef>
          </c:tx>
          <c:spPr>
            <a:solidFill>
              <a:srgbClr val="D86ECC"/>
            </a:solidFill>
            <a:ln w="12600">
              <a:noFill/>
            </a:ln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05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uFillTx/>
                    <a:latin typeface="Aptos Narrow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0" cap="flat" cmpd="sng" algn="ctr">
                      <a:solidFill>
                        <a:srgbClr val="000000"/>
                      </a:solidFill>
                      <a:prstDash val="solid"/>
                      <a:round/>
                    </a:ln>
                  </c:spPr>
                </c15:leaderLines>
              </c:ext>
            </c:extLst>
          </c:dLbls>
          <c:cat>
            <c:strRef>
              <c:f>'Employee Data'!$K$4:$K$10</c:f>
              <c:strCache>
                <c:ptCount val="7"/>
                <c:pt idx="0">
                  <c:v>Education</c:v>
                </c:pt>
                <c:pt idx="1">
                  <c:v>Finance</c:v>
                </c:pt>
                <c:pt idx="2">
                  <c:v>Health</c:v>
                </c:pt>
                <c:pt idx="3">
                  <c:v>Maintainance</c:v>
                </c:pt>
                <c:pt idx="4">
                  <c:v>Warehouse</c:v>
                </c:pt>
                <c:pt idx="5">
                  <c:v>Works</c:v>
                </c:pt>
                <c:pt idx="6">
                  <c:v>Total Result</c:v>
                </c:pt>
              </c:strCache>
            </c:strRef>
          </c:cat>
          <c:val>
            <c:numRef>
              <c:f>'Employee Data'!$L$4:$L$10</c:f>
              <c:numCache>
                <c:formatCode>General</c:formatCode>
                <c:ptCount val="7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2</c:v>
                </c:pt>
                <c:pt idx="4">
                  <c:v>2</c:v>
                </c:pt>
                <c:pt idx="5">
                  <c:v>3</c:v>
                </c:pt>
                <c:pt idx="6">
                  <c:v>15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1"/>
        </c:dLbls>
        <c:gapWidth val="219"/>
        <c:overlap val="-27"/>
        <c:axId val="10473843"/>
        <c:axId val="11893858"/>
      </c:barChart>
      <c:catAx>
        <c:axId val="10473843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GB" sz="1300" b="0" i="0" u="none" strike="noStrike" kern="1200" baseline="0">
                    <a:solidFill>
                      <a:schemeClr val="tx1"/>
                    </a:solidFill>
                    <a:uFillTx/>
                    <a:latin typeface="Arial" panose="020B0604020202020204"/>
                    <a:ea typeface="+mn-ea"/>
                    <a:cs typeface="+mn-cs"/>
                  </a:defRPr>
                </a:pPr>
                <a:r>
                  <a:rPr lang="en-US" sz="1050" b="1" u="none" strike="noStrike">
                    <a:solidFill>
                      <a:schemeClr val="tx1">
                        <a:lumMod val="65000"/>
                        <a:lumOff val="35000"/>
                      </a:schemeClr>
                    </a:solidFill>
                    <a:uFillTx/>
                    <a:latin typeface="Aptos Narrow"/>
                  </a:rPr>
                  <a:t>Department</a:t>
                </a:r>
                <a:endParaRPr lang="en-US" sz="1050" b="1" u="none" strike="noStrike">
                  <a:solidFill>
                    <a:schemeClr val="tx1">
                      <a:lumMod val="65000"/>
                      <a:lumOff val="35000"/>
                    </a:schemeClr>
                  </a:solidFill>
                  <a:uFillTx/>
                  <a:latin typeface="Aptos Narrow"/>
                </a:endParaRP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 cap="flat" cmpd="sng" algn="ctr">
            <a:solidFill>
              <a:schemeClr val="dk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GB"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Aptos Narrow"/>
                <a:ea typeface="+mn-ea"/>
                <a:cs typeface="+mn-cs"/>
              </a:defRPr>
            </a:pPr>
          </a:p>
        </c:txPr>
        <c:crossAx val="11893858"/>
        <c:crosses val="autoZero"/>
        <c:auto val="1"/>
        <c:lblAlgn val="ctr"/>
        <c:lblOffset val="100"/>
        <c:noMultiLvlLbl val="0"/>
      </c:catAx>
      <c:valAx>
        <c:axId val="11893858"/>
        <c:scaling>
          <c:orientation val="minMax"/>
        </c:scaling>
        <c:delete val="0"/>
        <c:axPos val="l"/>
        <c:majorGridlines>
          <c:spPr>
            <a:ln w="9360" cap="flat" cmpd="sng" algn="ctr">
              <a:solidFill>
                <a:schemeClr val="dk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GB" sz="1300" b="0" i="0" u="none" strike="noStrike" kern="1200" baseline="0">
                    <a:solidFill>
                      <a:schemeClr val="tx1"/>
                    </a:solidFill>
                    <a:uFillTx/>
                    <a:latin typeface="Arial" panose="020B0604020202020204"/>
                    <a:ea typeface="+mn-ea"/>
                    <a:cs typeface="+mn-cs"/>
                  </a:defRPr>
                </a:pPr>
                <a:r>
                  <a:rPr lang="en-US" sz="1050" b="1" u="none" strike="noStrike">
                    <a:solidFill>
                      <a:schemeClr val="tx1">
                        <a:lumMod val="65000"/>
                        <a:lumOff val="35000"/>
                      </a:schemeClr>
                    </a:solidFill>
                    <a:uFillTx/>
                    <a:latin typeface="Aptos Narrow"/>
                  </a:rPr>
                  <a:t>No of Employee</a:t>
                </a:r>
                <a:endParaRPr lang="en-US" sz="1050" b="1" u="none" strike="noStrike">
                  <a:solidFill>
                    <a:schemeClr val="tx1">
                      <a:lumMod val="65000"/>
                      <a:lumOff val="35000"/>
                    </a:schemeClr>
                  </a:solidFill>
                  <a:uFillTx/>
                  <a:latin typeface="Aptos Narrow"/>
                </a:endParaRP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12600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GB"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Aptos Narrow"/>
                <a:ea typeface="+mn-ea"/>
                <a:cs typeface="+mn-cs"/>
              </a:defRPr>
            </a:pPr>
          </a:p>
        </c:txPr>
        <c:crossAx val="1047384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0"/>
    <c:extLst>
      <c:ext uri="{0b15fc19-7d7d-44ad-8c2d-2c3a37ce22c3}">
        <chartProps xmlns="https://web.wps.cn/et/2018/main" chartId="{e8f73b87-c82e-4366-942c-6cbc9a222ab5}"/>
      </c:ext>
    </c:extLst>
  </c:chart>
  <c:spPr>
    <a:solidFill>
      <a:srgbClr val="FFFFFF"/>
    </a:solidFill>
    <a:ln w="9360" cap="flat" cmpd="sng" algn="ctr">
      <a:solidFill>
        <a:schemeClr val="dk1">
          <a:lumMod val="15000"/>
          <a:lumOff val="85000"/>
        </a:schemeClr>
      </a:solidFill>
      <a:prstDash val="solid"/>
      <a:round/>
    </a:ln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 7 – Week 1 Assessment.xlsx]Monthly Sales Data!DataPilot1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GB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en-GB"/>
              <a:t>Revenue by Product</a:t>
            </a:r>
            <a:endParaRPr lang="en-US" altLang="en-GB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'Monthly Sales Data'!$L$4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'Monthly Sales Data'!$K$5:$K$10</c:f>
              <c:strCache>
                <c:ptCount val="5"/>
                <c:pt idx="0">
                  <c:v>Laptop</c:v>
                </c:pt>
                <c:pt idx="1">
                  <c:v>Monitor</c:v>
                </c:pt>
                <c:pt idx="2">
                  <c:v>Printer</c:v>
                </c:pt>
                <c:pt idx="3">
                  <c:v>Keyboard</c:v>
                </c:pt>
                <c:pt idx="4">
                  <c:v>Mouse</c:v>
                </c:pt>
              </c:strCache>
            </c:strRef>
          </c:cat>
          <c:val>
            <c:numRef>
              <c:f>'Monthly Sales Data'!$L$5:$L$10</c:f>
              <c:numCache>
                <c:formatCode>[$$-409]#,##0.00;[Red]\-[$$-409]#,##0.00</c:formatCode>
                <c:ptCount val="5"/>
                <c:pt idx="0">
                  <c:v>4725</c:v>
                </c:pt>
                <c:pt idx="1">
                  <c:v>2200</c:v>
                </c:pt>
                <c:pt idx="2">
                  <c:v>990</c:v>
                </c:pt>
                <c:pt idx="3">
                  <c:v>900</c:v>
                </c:pt>
                <c:pt idx="4">
                  <c:v>875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661197043"/>
        <c:axId val="109220614"/>
      </c:barChart>
      <c:catAx>
        <c:axId val="661197043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GB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en-GB" b="1"/>
                  <a:t>Product</a:t>
                </a:r>
                <a:endParaRPr lang="en-US" altLang="en-GB" b="1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09220614"/>
        <c:crosses val="autoZero"/>
        <c:auto val="1"/>
        <c:lblAlgn val="ctr"/>
        <c:lblOffset val="100"/>
        <c:noMultiLvlLbl val="0"/>
      </c:catAx>
      <c:valAx>
        <c:axId val="10922061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GB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en-GB" b="1"/>
                  <a:t>Average Revenue</a:t>
                </a:r>
                <a:endParaRPr lang="en-US" altLang="en-GB" b="1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[$$-409]#,##0.00;[Red]\-[$$-409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611970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83cff1b-b184-4127-9315-7950ae5563a3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 7 – Week 1 Assessment.xlsx]Monthly Sales Data!PivotTable1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GB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en-GB"/>
              <a:t>Revenue by Region</a:t>
            </a:r>
            <a:endParaRPr lang="en-US" altLang="en-GB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'Monthly Sales Data'!$L$12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'Monthly Sales Data'!$K$13:$K$17</c:f>
              <c:strCache>
                <c:ptCount val="4"/>
                <c:pt idx="0">
                  <c:v>North</c:v>
                </c:pt>
                <c:pt idx="1">
                  <c:v>East</c:v>
                </c:pt>
                <c:pt idx="2">
                  <c:v>West</c:v>
                </c:pt>
                <c:pt idx="3">
                  <c:v>South</c:v>
                </c:pt>
              </c:strCache>
            </c:strRef>
          </c:cat>
          <c:val>
            <c:numRef>
              <c:f>'Monthly Sales Data'!$L$13:$L$17</c:f>
              <c:numCache>
                <c:formatCode>_ "$"* #,##0.00_ ;_ "$"* \-#,##0.00_ ;_ "$"* "-"??_ ;_ @_ </c:formatCode>
                <c:ptCount val="4"/>
                <c:pt idx="0">
                  <c:v>3131.25</c:v>
                </c:pt>
                <c:pt idx="1">
                  <c:v>2752.5</c:v>
                </c:pt>
                <c:pt idx="2">
                  <c:v>1906.66666666667</c:v>
                </c:pt>
                <c:pt idx="3">
                  <c:v>887.5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454232658"/>
        <c:axId val="524027753"/>
      </c:barChart>
      <c:catAx>
        <c:axId val="454232658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GB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en-GB" b="1"/>
                  <a:t>Region</a:t>
                </a:r>
                <a:endParaRPr lang="en-US" altLang="en-GB" b="1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24027753"/>
        <c:crosses val="autoZero"/>
        <c:auto val="1"/>
        <c:lblAlgn val="ctr"/>
        <c:lblOffset val="100"/>
        <c:noMultiLvlLbl val="0"/>
      </c:catAx>
      <c:valAx>
        <c:axId val="52402775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GB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en-GB" b="1"/>
                  <a:t>Average Revenue</a:t>
                </a:r>
                <a:endParaRPr lang="en-US" altLang="en-GB" b="1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_ &quot;$&quot;* #,##0.00_ ;_ &quot;$&quot;* \-#,##0.00_ ;_ &quot;$&quot;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5423265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4470694a-115d-4b65-a679-ecebf8897598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 7 – Week 1 Assessment.xlsx]Monthly Sales Data!PivotTable2</c:name>
    <c:fmtId val="0"/>
  </c:pivotSource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'Monthly Sales Data'!$L$19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'Monthly Sales Data'!$K$20:$K$30</c:f>
              <c:strCache>
                <c:ptCount val="10"/>
                <c:pt idx="0">
                  <c:v>Esther</c:v>
                </c:pt>
                <c:pt idx="1">
                  <c:v>Peter</c:v>
                </c:pt>
                <c:pt idx="2">
                  <c:v>Grace</c:v>
                </c:pt>
                <c:pt idx="3">
                  <c:v>Mary</c:v>
                </c:pt>
                <c:pt idx="4">
                  <c:v>Ruth</c:v>
                </c:pt>
                <c:pt idx="5">
                  <c:v>Sarah</c:v>
                </c:pt>
                <c:pt idx="6">
                  <c:v>Daniel</c:v>
                </c:pt>
                <c:pt idx="7">
                  <c:v>James</c:v>
                </c:pt>
                <c:pt idx="8">
                  <c:v>John</c:v>
                </c:pt>
                <c:pt idx="9">
                  <c:v>David</c:v>
                </c:pt>
              </c:strCache>
            </c:strRef>
          </c:cat>
          <c:val>
            <c:numRef>
              <c:f>'Monthly Sales Data'!$L$20:$L$30</c:f>
              <c:numCache>
                <c:formatCode>_ "$"* #,##0.00_ ;_ "$"* \-#,##0.00_ ;_ "$"* "-"??_ ;_ @_ </c:formatCode>
                <c:ptCount val="10"/>
                <c:pt idx="0">
                  <c:v>990</c:v>
                </c:pt>
                <c:pt idx="1">
                  <c:v>1000</c:v>
                </c:pt>
                <c:pt idx="2">
                  <c:v>1080</c:v>
                </c:pt>
                <c:pt idx="3">
                  <c:v>1625</c:v>
                </c:pt>
                <c:pt idx="4">
                  <c:v>2200</c:v>
                </c:pt>
                <c:pt idx="5">
                  <c:v>2570</c:v>
                </c:pt>
                <c:pt idx="6">
                  <c:v>3150</c:v>
                </c:pt>
                <c:pt idx="7">
                  <c:v>5100</c:v>
                </c:pt>
                <c:pt idx="8">
                  <c:v>6150</c:v>
                </c:pt>
                <c:pt idx="9">
                  <c:v>8940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454269545"/>
        <c:axId val="172547916"/>
      </c:barChart>
      <c:catAx>
        <c:axId val="454269545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GB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en-GB" b="1"/>
                  <a:t>Salesperson</a:t>
                </a:r>
                <a:endParaRPr lang="en-US" altLang="en-GB" b="1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72547916"/>
        <c:crosses val="autoZero"/>
        <c:auto val="1"/>
        <c:lblAlgn val="ctr"/>
        <c:lblOffset val="100"/>
        <c:noMultiLvlLbl val="0"/>
      </c:catAx>
      <c:valAx>
        <c:axId val="1725479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GB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en-GB" b="1"/>
                  <a:t>Revenue</a:t>
                </a:r>
                <a:endParaRPr lang="en-US" altLang="en-GB" b="1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_ &quot;$&quot;* #,##0.00_ ;_ &quot;$&quot;* \-#,##0.00_ ;_ &quot;$&quot;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5426954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dc953f69-4146-473d-ac5b-518b684733e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 7 – Week 1 Assessment.xlsx]Monthly Sales Data!PivotTable7</c:name>
    <c:fmtId val="0"/>
  </c:pivotSource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'Monthly Sales Data'!$P$4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'Monthly Sales Data'!$O$5:$O$10</c:f>
              <c:strCache>
                <c:ptCount val="5"/>
                <c:pt idx="0">
                  <c:v>Mouse</c:v>
                </c:pt>
                <c:pt idx="1">
                  <c:v>Keyboard</c:v>
                </c:pt>
                <c:pt idx="2">
                  <c:v>Monitor</c:v>
                </c:pt>
                <c:pt idx="3">
                  <c:v>Laptop</c:v>
                </c:pt>
                <c:pt idx="4">
                  <c:v>Printer</c:v>
                </c:pt>
              </c:strCache>
            </c:strRef>
          </c:cat>
          <c:val>
            <c:numRef>
              <c:f>'Monthly Sales Data'!$P$5:$P$10</c:f>
              <c:numCache>
                <c:formatCode>General</c:formatCode>
                <c:ptCount val="5"/>
                <c:pt idx="0">
                  <c:v>105</c:v>
                </c:pt>
                <c:pt idx="1">
                  <c:v>60</c:v>
                </c:pt>
                <c:pt idx="2">
                  <c:v>30</c:v>
                </c:pt>
                <c:pt idx="3">
                  <c:v>18</c:v>
                </c:pt>
                <c:pt idx="4">
                  <c:v>11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186949278"/>
        <c:axId val="86722812"/>
      </c:barChart>
      <c:catAx>
        <c:axId val="186949278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GB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en-GB" b="1"/>
                  <a:t>Product</a:t>
                </a:r>
                <a:endParaRPr lang="en-US" altLang="en-GB" b="1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6722812"/>
        <c:crosses val="autoZero"/>
        <c:auto val="1"/>
        <c:lblAlgn val="ctr"/>
        <c:lblOffset val="100"/>
        <c:noMultiLvlLbl val="0"/>
      </c:catAx>
      <c:valAx>
        <c:axId val="867228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GB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en-GB" b="1"/>
                  <a:t>Unit Sold</a:t>
                </a:r>
                <a:endParaRPr lang="en-US" altLang="en-GB" b="1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8694927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498d615e-0694-4bae-a2e7-208ed8f3c48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4" Type="http://schemas.openxmlformats.org/officeDocument/2006/relationships/chart" Target="../charts/chart8.xml"/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554400</xdr:colOff>
      <xdr:row>4</xdr:row>
      <xdr:rowOff>0</xdr:rowOff>
    </xdr:from>
    <xdr:to>
      <xdr:col>9</xdr:col>
      <xdr:colOff>553680</xdr:colOff>
      <xdr:row>23</xdr:row>
      <xdr:rowOff>9105</xdr:rowOff>
    </xdr:to>
    <xdr:graphicFrame>
      <xdr:nvGraphicFramePr>
        <xdr:cNvPr id="2" name="Chart 1"/>
        <xdr:cNvGraphicFramePr/>
      </xdr:nvGraphicFramePr>
      <xdr:xfrm>
        <a:off x="1221105" y="723900"/>
        <a:ext cx="5332730" cy="34474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</xdr:col>
      <xdr:colOff>0</xdr:colOff>
      <xdr:row>24</xdr:row>
      <xdr:rowOff>9360</xdr:rowOff>
    </xdr:from>
    <xdr:to>
      <xdr:col>9</xdr:col>
      <xdr:colOff>553680</xdr:colOff>
      <xdr:row>43</xdr:row>
      <xdr:rowOff>7665</xdr:rowOff>
    </xdr:to>
    <xdr:graphicFrame>
      <xdr:nvGraphicFramePr>
        <xdr:cNvPr id="3" name="Chart 3"/>
        <xdr:cNvGraphicFramePr/>
      </xdr:nvGraphicFramePr>
      <xdr:xfrm>
        <a:off x="1333500" y="4352290"/>
        <a:ext cx="5220335" cy="34372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11</xdr:col>
      <xdr:colOff>19080</xdr:colOff>
      <xdr:row>23</xdr:row>
      <xdr:rowOff>189000</xdr:rowOff>
    </xdr:from>
    <xdr:to>
      <xdr:col>18</xdr:col>
      <xdr:colOff>554400</xdr:colOff>
      <xdr:row>43</xdr:row>
      <xdr:rowOff>9105</xdr:rowOff>
    </xdr:to>
    <xdr:graphicFrame>
      <xdr:nvGraphicFramePr>
        <xdr:cNvPr id="4" name="Chart 4"/>
        <xdr:cNvGraphicFramePr/>
      </xdr:nvGraphicFramePr>
      <xdr:xfrm>
        <a:off x="6871970" y="4343400"/>
        <a:ext cx="5202555" cy="34474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11</xdr:col>
      <xdr:colOff>0</xdr:colOff>
      <xdr:row>4</xdr:row>
      <xdr:rowOff>10080</xdr:rowOff>
    </xdr:from>
    <xdr:to>
      <xdr:col>18</xdr:col>
      <xdr:colOff>555480</xdr:colOff>
      <xdr:row>22</xdr:row>
      <xdr:rowOff>180000</xdr:rowOff>
    </xdr:to>
    <xdr:graphicFrame>
      <xdr:nvGraphicFramePr>
        <xdr:cNvPr id="5" name="Chart 6"/>
        <xdr:cNvGraphicFramePr/>
      </xdr:nvGraphicFramePr>
      <xdr:xfrm>
        <a:off x="6852920" y="733425"/>
        <a:ext cx="5222240" cy="34277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0</xdr:colOff>
      <xdr:row>5</xdr:row>
      <xdr:rowOff>0</xdr:rowOff>
    </xdr:from>
    <xdr:to>
      <xdr:col>6</xdr:col>
      <xdr:colOff>948690</xdr:colOff>
      <xdr:row>20</xdr:row>
      <xdr:rowOff>0</xdr:rowOff>
    </xdr:to>
    <xdr:graphicFrame>
      <xdr:nvGraphicFramePr>
        <xdr:cNvPr id="2" name="Chart 1"/>
        <xdr:cNvGraphicFramePr/>
      </xdr:nvGraphicFramePr>
      <xdr:xfrm>
        <a:off x="1951990" y="904875"/>
        <a:ext cx="4852670" cy="27146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5</xdr:row>
      <xdr:rowOff>0</xdr:rowOff>
    </xdr:from>
    <xdr:to>
      <xdr:col>11</xdr:col>
      <xdr:colOff>967740</xdr:colOff>
      <xdr:row>19</xdr:row>
      <xdr:rowOff>181610</xdr:rowOff>
    </xdr:to>
    <xdr:graphicFrame>
      <xdr:nvGraphicFramePr>
        <xdr:cNvPr id="3" name="Chart 2"/>
        <xdr:cNvGraphicFramePr/>
      </xdr:nvGraphicFramePr>
      <xdr:xfrm>
        <a:off x="6831965" y="904875"/>
        <a:ext cx="4871720" cy="27146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0</xdr:colOff>
      <xdr:row>23</xdr:row>
      <xdr:rowOff>180340</xdr:rowOff>
    </xdr:from>
    <xdr:to>
      <xdr:col>6</xdr:col>
      <xdr:colOff>954405</xdr:colOff>
      <xdr:row>45</xdr:row>
      <xdr:rowOff>151765</xdr:rowOff>
    </xdr:to>
    <xdr:graphicFrame>
      <xdr:nvGraphicFramePr>
        <xdr:cNvPr id="5" name="Chart 4"/>
        <xdr:cNvGraphicFramePr/>
      </xdr:nvGraphicFramePr>
      <xdr:xfrm>
        <a:off x="1951990" y="4342765"/>
        <a:ext cx="4858385" cy="39528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0</xdr:colOff>
      <xdr:row>23</xdr:row>
      <xdr:rowOff>171450</xdr:rowOff>
    </xdr:from>
    <xdr:to>
      <xdr:col>12</xdr:col>
      <xdr:colOff>20955</xdr:colOff>
      <xdr:row>45</xdr:row>
      <xdr:rowOff>161925</xdr:rowOff>
    </xdr:to>
    <xdr:graphicFrame>
      <xdr:nvGraphicFramePr>
        <xdr:cNvPr id="6" name="Chart 5"/>
        <xdr:cNvGraphicFramePr/>
      </xdr:nvGraphicFramePr>
      <xdr:xfrm>
        <a:off x="6831965" y="4333875"/>
        <a:ext cx="4900930" cy="39719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3" refreshedDate="0" recordCount="15">
  <cacheSource type="worksheet">
    <worksheetSource ref="C3:I18" sheet="Employee Data"/>
  </cacheSource>
  <cacheFields count="7">
    <cacheField name="Employee ID" numFmtId="0">
      <sharedItems containsSemiMixedTypes="0" containsString="0" containsNumber="1" containsInteger="1" minValue="0" maxValue="15" count="15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</sharedItems>
    </cacheField>
    <cacheField name="Name" numFmtId="0">
      <sharedItems count="15">
        <s v="Akanbi Faith"/>
        <s v="Bright Asemota"/>
        <s v="Bukky Wright"/>
        <s v="Dolapo Esse"/>
        <s v="Douglas Dare"/>
        <s v="Effiong Calistos"/>
        <s v="Emmanuel Segun"/>
        <s v="Francis Okeola"/>
        <s v="John Smith"/>
        <s v="Joshua Simpson"/>
        <s v="Kunle Badru"/>
        <s v="Opeoluwa Peters"/>
        <s v="Segun Fadimu"/>
        <s v="Tola Ibidapo"/>
        <s v="Tope Young"/>
      </sharedItems>
    </cacheField>
    <cacheField name="Department" numFmtId="0">
      <sharedItems count="6">
        <s v="Education"/>
        <s v="Finance"/>
        <s v="Health"/>
        <s v="Maintainance"/>
        <s v="Warehouse"/>
        <s v="Works"/>
      </sharedItems>
    </cacheField>
    <cacheField name="Salary ($)" numFmtId="0">
      <sharedItems containsSemiMixedTypes="0" containsString="0" containsNumber="1" containsInteger="1" minValue="0" maxValue="38000" count="13">
        <n v="4000"/>
        <n v="4500"/>
        <n v="4800"/>
        <n v="5000"/>
        <n v="10400"/>
        <n v="11000"/>
        <n v="15000"/>
        <n v="18000"/>
        <n v="25000"/>
        <n v="27000"/>
        <n v="30000"/>
        <n v="34000"/>
        <n v="38000"/>
      </sharedItems>
    </cacheField>
    <cacheField name="Years of Service" numFmtId="0">
      <sharedItems containsSemiMixedTypes="0" containsString="0" containsNumber="1" containsInteger="1" minValue="0" maxValue="23" count="11">
        <n v="1"/>
        <n v="2"/>
        <n v="3"/>
        <n v="4"/>
        <n v="6"/>
        <n v="7"/>
        <n v="8"/>
        <n v="9"/>
        <n v="11"/>
        <n v="14"/>
        <n v="23"/>
      </sharedItems>
    </cacheField>
    <cacheField name="Annual Salary" numFmtId="0">
      <sharedItems containsSemiMixedTypes="0" containsString="0" containsNumber="1" containsInteger="1" minValue="0" maxValue="456000" count="13">
        <n v="48000"/>
        <n v="54000"/>
        <n v="57600"/>
        <n v="60000"/>
        <n v="124800"/>
        <n v="132000"/>
        <n v="180000"/>
        <n v="216000"/>
        <n v="300000"/>
        <n v="324000"/>
        <n v="360000"/>
        <n v="408000"/>
        <n v="456000"/>
      </sharedItems>
    </cacheField>
    <cacheField name="Bonus" numFmtId="0">
      <sharedItems containsSemiMixedTypes="0" containsString="0" containsNumber="1" containsInteger="1" minValue="0" maxValue="45600" count="13">
        <n v="4800"/>
        <n v="5400"/>
        <n v="5760"/>
        <n v="6000"/>
        <n v="12480"/>
        <n v="13200"/>
        <n v="18000"/>
        <n v="21600"/>
        <n v="30000"/>
        <n v="32400"/>
        <n v="36000"/>
        <n v="40800"/>
        <n v="4560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3" refreshedDate="0" recordCount="5">
  <cacheSource type="worksheet">
    <worksheetSource ref="C4:F9" sheet="Sales Analysis"/>
  </cacheSource>
  <cacheFields count="4">
    <cacheField name="Product" numFmtId="0">
      <sharedItems count="5">
        <s v="Keyboard"/>
        <s v="Laptop"/>
        <s v="Monitor"/>
        <s v="Mouse"/>
        <s v="Printer"/>
      </sharedItems>
    </cacheField>
    <cacheField name="Units Sold" numFmtId="0">
      <sharedItems containsSemiMixedTypes="0" containsString="0" containsNumber="1" containsInteger="1" minValue="0" maxValue="40" count="5">
        <n v="8"/>
        <n v="12"/>
        <n v="15"/>
        <n v="25"/>
        <n v="40"/>
      </sharedItems>
    </cacheField>
    <cacheField name="Unit Price" numFmtId="0">
      <sharedItems containsSemiMixedTypes="0" containsString="0" containsNumber="1" containsInteger="1" minValue="0" maxValue="3500" count="5">
        <n v="75"/>
        <n v="180"/>
        <n v="950"/>
        <n v="1200"/>
        <n v="3500"/>
      </sharedItems>
    </cacheField>
    <cacheField name="Revenue" numFmtId="0">
      <sharedItems containsSemiMixedTypes="0" containsString="0" containsNumber="1" containsInteger="1" minValue="0" maxValue="52500" count="5">
        <n v="3000"/>
        <n v="4500"/>
        <n v="9600"/>
        <n v="11400"/>
        <n v="52500"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createdVersion="3" refreshedDate="0" recordCount="15">
  <cacheSource type="worksheet">
    <worksheetSource ref="C4:I19" sheet="Monthly Sales Data"/>
  </cacheSource>
  <cacheFields count="7">
    <cacheField name="Date" numFmtId="0">
      <sharedItems count="15">
        <s v="1-Aug"/>
        <s v="10-Aug"/>
        <s v="11-Aug"/>
        <s v="12-Aug"/>
        <s v="13-Aug"/>
        <s v="14-Aug"/>
        <s v="15-Aug"/>
        <s v="2-Aug"/>
        <s v="3-Aug"/>
        <s v="4-Aug"/>
        <s v="5-Aug"/>
        <s v="6-Aug"/>
        <s v="7-Aug"/>
        <s v="8-Aug"/>
        <s v="9-Aug"/>
      </sharedItems>
    </cacheField>
    <cacheField name="Salesperson" numFmtId="0">
      <sharedItems count="10">
        <s v="Daniel"/>
        <s v="David"/>
        <s v="Esther"/>
        <s v="Grace"/>
        <s v="James"/>
        <s v="John"/>
        <s v="Mary"/>
        <s v="Peter"/>
        <s v="Ruth"/>
        <s v="Sarah"/>
      </sharedItems>
    </cacheField>
    <cacheField name="Region" numFmtId="0">
      <sharedItems count="4">
        <s v="East"/>
        <s v="North"/>
        <s v="South"/>
        <s v="West"/>
      </sharedItems>
    </cacheField>
    <cacheField name="Product" numFmtId="0">
      <sharedItems count="5">
        <s v="Keyboard"/>
        <s v="Laptop"/>
        <s v="Monitor"/>
        <s v="Mouse"/>
        <s v="Printer"/>
      </sharedItems>
    </cacheField>
    <cacheField name="Units Sold" numFmtId="0">
      <sharedItems containsSemiMixedTypes="0" containsString="0" containsNumber="1" containsInteger="1" minValue="0" maxValue="40" count="13">
        <n v="3"/>
        <n v="4"/>
        <n v="5"/>
        <n v="6"/>
        <n v="8"/>
        <n v="10"/>
        <n v="12"/>
        <n v="18"/>
        <n v="20"/>
        <n v="22"/>
        <n v="30"/>
        <n v="35"/>
        <n v="40"/>
      </sharedItems>
    </cacheField>
    <cacheField name="Unit Price" numFmtId="0">
      <sharedItems containsSemiMixedTypes="0" containsString="0" containsNumber="1" containsInteger="1" minValue="0" maxValue="1050" count="5">
        <n v="25"/>
        <n v="45"/>
        <n v="180"/>
        <n v="220"/>
        <n v="1050"/>
      </sharedItems>
    </cacheField>
    <cacheField name="Revenue " numFmtId="0">
      <sharedItems containsSemiMixedTypes="0" containsString="0" containsNumber="1" containsInteger="1" minValue="0" maxValue="6300" count="14">
        <n v="750"/>
        <n v="810"/>
        <n v="875"/>
        <n v="900"/>
        <n v="990"/>
        <n v="1000"/>
        <n v="1080"/>
        <n v="1760"/>
        <n v="2200"/>
        <n v="2640"/>
        <n v="3150"/>
        <n v="4200"/>
        <n v="5250"/>
        <n v="6300"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240.6953240741" refreshedBy="Lenovo" recordCount="15">
  <cacheSource type="worksheet">
    <worksheetSource name="Table11"/>
  </cacheSource>
  <cacheFields count="7">
    <cacheField name="Date" numFmtId="0">
      <sharedItems count="15">
        <s v="1-Aug"/>
        <s v="2-Aug"/>
        <s v="3-Aug"/>
        <s v="4-Aug"/>
        <s v="5-Aug"/>
        <s v="6-Aug"/>
        <s v="7-Aug"/>
        <s v="8-Aug"/>
        <s v="9-Aug"/>
        <s v="10-Aug"/>
        <s v="11-Aug"/>
        <s v="12-Aug"/>
        <s v="13-Aug"/>
        <s v="14-Aug"/>
        <s v="15-Aug"/>
      </sharedItems>
    </cacheField>
    <cacheField name="Salesperson" numFmtId="0">
      <sharedItems count="10">
        <s v="John"/>
        <s v="Mary"/>
        <s v="David"/>
        <s v="Sarah"/>
        <s v="James"/>
        <s v="Grace"/>
        <s v="Peter"/>
        <s v="Ruth"/>
        <s v="Daniel"/>
        <s v="Esther"/>
      </sharedItems>
    </cacheField>
    <cacheField name="Region" numFmtId="0">
      <sharedItems count="4">
        <s v="North"/>
        <s v="South"/>
        <s v="East"/>
        <s v="West"/>
      </sharedItems>
    </cacheField>
    <cacheField name="Product" numFmtId="0">
      <sharedItems count="5">
        <s v="Laptop"/>
        <s v="Mouse"/>
        <s v="Monitor"/>
        <s v="Keyboard"/>
        <s v="Printer"/>
      </sharedItems>
    </cacheField>
    <cacheField name="Units Sold" numFmtId="0">
      <sharedItems containsSemiMixedTypes="0" containsString="0" containsNumber="1" containsInteger="1" minValue="0" maxValue="40" count="13">
        <n v="5"/>
        <n v="30"/>
        <n v="12"/>
        <n v="18"/>
        <n v="4"/>
        <n v="6"/>
        <n v="40"/>
        <n v="10"/>
        <n v="3"/>
        <n v="22"/>
        <n v="35"/>
        <n v="8"/>
        <n v="20"/>
      </sharedItems>
    </cacheField>
    <cacheField name="Unit Price" numFmtId="177">
      <sharedItems containsSemiMixedTypes="0" containsString="0" containsNumber="1" containsInteger="1" minValue="0" maxValue="1050" count="5">
        <n v="1050"/>
        <n v="25"/>
        <n v="220"/>
        <n v="45"/>
        <n v="180"/>
      </sharedItems>
    </cacheField>
    <cacheField name="Revenue " numFmtId="177">
      <sharedItems containsSemiMixedTypes="0" containsString="0" containsNumber="1" containsInteger="1" minValue="0" maxValue="6300" count="14">
        <n v="5250"/>
        <n v="750"/>
        <n v="2640"/>
        <n v="810"/>
        <n v="4200"/>
        <n v="1080"/>
        <n v="1000"/>
        <n v="2200"/>
        <n v="3150"/>
        <n v="990"/>
        <n v="900"/>
        <n v="875"/>
        <n v="6300"/>
        <n v="1760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">
  <r>
    <x v="4294967295"/>
    <x v="4294967295"/>
    <x v="4294967295"/>
    <x v="4294967295"/>
  </r>
  <r>
    <x v="4294967295"/>
    <x v="4294967295"/>
    <x v="4294967295"/>
    <x v="4294967295"/>
  </r>
  <r>
    <x v="4294967295"/>
    <x v="4294967295"/>
    <x v="4294967295"/>
    <x v="4294967295"/>
  </r>
  <r>
    <x v="4294967295"/>
    <x v="4294967295"/>
    <x v="4294967295"/>
    <x v="4294967295"/>
  </r>
  <r>
    <x v="4294967295"/>
    <x v="4294967295"/>
    <x v="4294967295"/>
    <x v="429496729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5">
  <r>
    <x v="0"/>
    <x v="5"/>
    <x v="1"/>
    <x v="1"/>
    <x v="2"/>
    <x v="4"/>
    <x v="12"/>
  </r>
  <r>
    <x v="7"/>
    <x v="6"/>
    <x v="2"/>
    <x v="3"/>
    <x v="10"/>
    <x v="0"/>
    <x v="0"/>
  </r>
  <r>
    <x v="8"/>
    <x v="1"/>
    <x v="0"/>
    <x v="2"/>
    <x v="6"/>
    <x v="3"/>
    <x v="9"/>
  </r>
  <r>
    <x v="9"/>
    <x v="9"/>
    <x v="3"/>
    <x v="0"/>
    <x v="7"/>
    <x v="1"/>
    <x v="1"/>
  </r>
  <r>
    <x v="10"/>
    <x v="4"/>
    <x v="1"/>
    <x v="1"/>
    <x v="1"/>
    <x v="4"/>
    <x v="11"/>
  </r>
  <r>
    <x v="11"/>
    <x v="3"/>
    <x v="0"/>
    <x v="4"/>
    <x v="3"/>
    <x v="2"/>
    <x v="6"/>
  </r>
  <r>
    <x v="12"/>
    <x v="7"/>
    <x v="2"/>
    <x v="3"/>
    <x v="12"/>
    <x v="0"/>
    <x v="5"/>
  </r>
  <r>
    <x v="13"/>
    <x v="8"/>
    <x v="1"/>
    <x v="2"/>
    <x v="5"/>
    <x v="3"/>
    <x v="8"/>
  </r>
  <r>
    <x v="14"/>
    <x v="0"/>
    <x v="3"/>
    <x v="1"/>
    <x v="0"/>
    <x v="4"/>
    <x v="10"/>
  </r>
  <r>
    <x v="1"/>
    <x v="2"/>
    <x v="0"/>
    <x v="0"/>
    <x v="9"/>
    <x v="1"/>
    <x v="4"/>
  </r>
  <r>
    <x v="2"/>
    <x v="5"/>
    <x v="2"/>
    <x v="4"/>
    <x v="2"/>
    <x v="2"/>
    <x v="3"/>
  </r>
  <r>
    <x v="3"/>
    <x v="6"/>
    <x v="1"/>
    <x v="3"/>
    <x v="11"/>
    <x v="0"/>
    <x v="2"/>
  </r>
  <r>
    <x v="4"/>
    <x v="1"/>
    <x v="0"/>
    <x v="1"/>
    <x v="3"/>
    <x v="4"/>
    <x v="13"/>
  </r>
  <r>
    <x v="5"/>
    <x v="9"/>
    <x v="3"/>
    <x v="2"/>
    <x v="4"/>
    <x v="3"/>
    <x v="7"/>
  </r>
  <r>
    <x v="6"/>
    <x v="4"/>
    <x v="2"/>
    <x v="0"/>
    <x v="8"/>
    <x v="1"/>
    <x v="3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15">
  <r>
    <x v="0"/>
    <x v="0"/>
    <x v="0"/>
    <x v="0"/>
    <x v="0"/>
    <x v="0"/>
    <x v="0"/>
  </r>
  <r>
    <x v="1"/>
    <x v="1"/>
    <x v="1"/>
    <x v="1"/>
    <x v="1"/>
    <x v="1"/>
    <x v="1"/>
  </r>
  <r>
    <x v="2"/>
    <x v="2"/>
    <x v="2"/>
    <x v="2"/>
    <x v="2"/>
    <x v="2"/>
    <x v="2"/>
  </r>
  <r>
    <x v="3"/>
    <x v="3"/>
    <x v="3"/>
    <x v="3"/>
    <x v="3"/>
    <x v="3"/>
    <x v="3"/>
  </r>
  <r>
    <x v="4"/>
    <x v="4"/>
    <x v="0"/>
    <x v="0"/>
    <x v="4"/>
    <x v="0"/>
    <x v="4"/>
  </r>
  <r>
    <x v="5"/>
    <x v="5"/>
    <x v="2"/>
    <x v="4"/>
    <x v="5"/>
    <x v="4"/>
    <x v="5"/>
  </r>
  <r>
    <x v="6"/>
    <x v="6"/>
    <x v="1"/>
    <x v="1"/>
    <x v="6"/>
    <x v="1"/>
    <x v="6"/>
  </r>
  <r>
    <x v="7"/>
    <x v="7"/>
    <x v="0"/>
    <x v="2"/>
    <x v="7"/>
    <x v="2"/>
    <x v="7"/>
  </r>
  <r>
    <x v="8"/>
    <x v="8"/>
    <x v="3"/>
    <x v="0"/>
    <x v="8"/>
    <x v="0"/>
    <x v="8"/>
  </r>
  <r>
    <x v="9"/>
    <x v="9"/>
    <x v="2"/>
    <x v="3"/>
    <x v="9"/>
    <x v="3"/>
    <x v="9"/>
  </r>
  <r>
    <x v="10"/>
    <x v="0"/>
    <x v="1"/>
    <x v="4"/>
    <x v="0"/>
    <x v="4"/>
    <x v="10"/>
  </r>
  <r>
    <x v="11"/>
    <x v="1"/>
    <x v="0"/>
    <x v="1"/>
    <x v="10"/>
    <x v="1"/>
    <x v="11"/>
  </r>
  <r>
    <x v="12"/>
    <x v="2"/>
    <x v="2"/>
    <x v="0"/>
    <x v="5"/>
    <x v="0"/>
    <x v="12"/>
  </r>
  <r>
    <x v="13"/>
    <x v="3"/>
    <x v="3"/>
    <x v="2"/>
    <x v="11"/>
    <x v="2"/>
    <x v="13"/>
  </r>
  <r>
    <x v="14"/>
    <x v="4"/>
    <x v="1"/>
    <x v="3"/>
    <x v="12"/>
    <x v="3"/>
    <x v="10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count="15">
  <r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name="PivotTable7" cacheId="0" autoFormatId="1" applyNumberFormats="0" applyBorderFormats="0" applyFontFormats="0" applyPatternFormats="0" applyAlignmentFormats="0" applyWidthHeightFormats="1" dataCaption="Values" indent="0" outline="1" outlineData="1" showDrill="1">
  <location ref="K3:L10" firstHeaderRow="1" firstDataRow="1" firstDataCol="1"/>
  <pivotFields count="7">
    <pivotField dataField="1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showAll="0"/>
    <pivotField axis="axisRow"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Number of Employee" fld="0" subtotal="count" baseField="0" baseItem="0"/>
  </dataFields>
  <formats count="6">
    <format dxfId="0">
      <pivotArea dataOnly="0" outline="0" fieldPosition="0"/>
    </format>
    <format dxfId="1">
      <pivotArea outline="0" fieldPosition="0"/>
    </format>
    <format dxfId="2">
      <pivotArea dataOnly="0" labelOnly="1" outline="0" fieldPosition="0"/>
    </format>
    <format dxfId="3">
      <pivotArea dataOnly="0" labelOnly="1" fieldPosition="0">
        <references count="1">
          <reference field="2" count="0"/>
        </references>
      </pivotArea>
    </format>
    <format dxfId="4">
      <pivotArea dataOnly="0" labelOnly="1" outline="0" fieldPosition="0"/>
    </format>
    <format dxfId="5">
      <pivotArea dataOnly="0" labelOnly="1" outline="0" fieldPosition="0"/>
    </format>
  </formats>
  <pivotTableStyleInfo name="PivotStyleLight16" showRowHeaders="1" showColHeaders="1" showLastColumn="1"/>
</pivotTableDefinition>
</file>

<file path=xl/pivotTables/pivotTable2.xml><?xml version="1.0" encoding="utf-8"?>
<pivotTableDefinition xmlns="http://schemas.openxmlformats.org/spreadsheetml/2006/main" name="PivotTable6" cacheId="1" autoFormatId="1" applyNumberFormats="0" applyBorderFormats="0" applyFontFormats="0" applyPatternFormats="0" applyAlignmentFormats="0" applyWidthHeightFormats="1" dataCaption="Values" indent="0" outline="1" outlineData="1" showDrill="1">
  <location ref="H4:I10" firstHeaderRow="1" firstDataRow="1" firstDataCol="1"/>
  <pivotFields count="4"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dataField="1" showAll="0">
      <items count="6">
        <item x="0"/>
        <item x="1"/>
        <item x="2"/>
        <item x="3"/>
        <item x="4"/>
        <item t="default"/>
      </items>
    </pivotField>
  </pivotFields>
  <rowFields count="1">
    <field x="0"/>
  </rowFields>
  <rowItems count="6">
    <i>
      <x v="1"/>
    </i>
    <i>
      <x v="2"/>
    </i>
    <i>
      <x v="4"/>
    </i>
    <i>
      <x/>
    </i>
    <i>
      <x v="3"/>
    </i>
    <i t="grand">
      <x/>
    </i>
  </rowItems>
  <colItems count="1">
    <i/>
  </colItems>
  <dataFields count="1">
    <dataField name="Revenue per Product" fld="3" baseField="0" baseItem="0" numFmtId="179"/>
  </dataFields>
  <pivotTableStyleInfo name="PivotStyleLight16" showRowHeaders="1" showColHeaders="1" showLastColumn="1"/>
</pivotTableDefinition>
</file>

<file path=xl/pivotTables/pivotTable3.xml><?xml version="1.0" encoding="utf-8"?>
<pivotTableDefinition xmlns="http://schemas.openxmlformats.org/spreadsheetml/2006/main" name="DataPilot1" cacheId="2" autoFormatId="1" applyNumberFormats="0" applyBorderFormats="0" applyFontFormats="0" applyPatternFormats="0" applyAlignmentFormats="0" applyWidthHeightFormats="1" dataCaption="Values" updatedVersion="5" compact="0" indent="0" compactData="0" showDrill="0" chartFormat="2">
  <location ref="K4:L10" firstHeaderRow="1" firstDataRow="1" firstDataCol="1"/>
  <pivotFields count="7">
    <pivotField compact="0" showAll="0">
      <items count="16">
        <item x="1"/>
        <item x="2"/>
        <item x="3"/>
        <item x="4"/>
        <item x="5"/>
        <item x="6"/>
        <item x="0"/>
        <item x="7"/>
        <item x="8"/>
        <item x="9"/>
        <item x="10"/>
        <item x="11"/>
        <item x="12"/>
        <item x="13"/>
        <item x="14"/>
        <item t="default"/>
      </items>
    </pivotField>
    <pivotField compact="0" showAll="0"/>
    <pivotField compact="0" showAll="0"/>
    <pivotField axis="axisRow" compact="0" sortType="descending" defaultSubtotal="0" outline="0" showAll="0">
      <items count="5">
        <item x="4"/>
        <item x="3"/>
        <item x="2"/>
        <item x="1"/>
        <item x="0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/>
    <pivotField compact="0" showAll="0"/>
    <pivotField dataField="1"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"/>
  </rowFields>
  <rowItems count="6">
    <i>
      <x v="3"/>
    </i>
    <i>
      <x v="2"/>
    </i>
    <i>
      <x/>
    </i>
    <i>
      <x v="4"/>
    </i>
    <i>
      <x v="1"/>
    </i>
    <i t="grand">
      <x/>
    </i>
  </rowItems>
  <colItems count="1">
    <i/>
  </colItems>
  <dataFields count="1">
    <dataField name="Average Revenue " fld="6" subtotal="average" baseField="0" baseItem="0" numFmtId="177"/>
  </dataFields>
  <pivotTableStyleInfo name="PivotStyleLight16" showRowHeaders="1" showColHeaders="1" showLastColumn="1"/>
</pivotTableDefinition>
</file>

<file path=xl/pivotTables/pivotTable4.xml><?xml version="1.0" encoding="utf-8"?>
<pivotTableDefinition xmlns="http://schemas.openxmlformats.org/spreadsheetml/2006/main" name="PivotTable1" cacheId="3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K12:L17" firstHeaderRow="1" firstDataRow="1" firstDataCol="1"/>
  <pivotFields count="7">
    <pivotField compact="0" showAll="0">
      <items count="16">
        <item x="9"/>
        <item x="10"/>
        <item x="11"/>
        <item x="12"/>
        <item x="13"/>
        <item x="14"/>
        <item x="0"/>
        <item x="1"/>
        <item x="2"/>
        <item x="3"/>
        <item x="4"/>
        <item x="5"/>
        <item x="6"/>
        <item x="7"/>
        <item x="8"/>
        <item t="default"/>
      </items>
    </pivotField>
    <pivotField compact="0" showAll="0"/>
    <pivotField axis="axisRow" compact="0" sortType="descending" showAll="0">
      <items count="5">
        <item x="2"/>
        <item x="0"/>
        <item x="1"/>
        <item x="3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/>
    <pivotField compact="0" showAll="0"/>
    <pivotField compact="0" numFmtId="177" showAll="0"/>
    <pivotField dataField="1" compact="0" numFmtId="177" showAll="0">
      <items count="15">
        <item x="1"/>
        <item x="3"/>
        <item x="11"/>
        <item x="10"/>
        <item x="9"/>
        <item x="6"/>
        <item x="5"/>
        <item x="13"/>
        <item x="7"/>
        <item x="2"/>
        <item x="8"/>
        <item x="4"/>
        <item x="0"/>
        <item x="12"/>
        <item t="default"/>
      </items>
    </pivotField>
  </pivotFields>
  <rowFields count="1">
    <field x="2"/>
  </rowFields>
  <rowItems count="5">
    <i>
      <x v="1"/>
    </i>
    <i>
      <x/>
    </i>
    <i>
      <x v="3"/>
    </i>
    <i>
      <x v="2"/>
    </i>
    <i t="grand">
      <x/>
    </i>
  </rowItems>
  <colItems count="1">
    <i/>
  </colItems>
  <dataFields count="1">
    <dataField name="Average of Revenue " fld="6" subtotal="average" baseField="0" baseItem="0"/>
  </dataFields>
  <formats count="3">
    <format dxfId="6">
      <pivotArea collapsedLevelsAreSubtotals="1" fieldPosition="0"/>
    </format>
    <format dxfId="7">
      <pivotArea type="all" dataOnly="0" outline="0" fieldPosition="0"/>
    </format>
    <format dxfId="8">
      <pivotArea type="all" dataOnly="0" outline="0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2" cacheId="2" autoFormatId="1" applyNumberFormats="0" applyBorderFormats="0" applyFontFormats="0" applyPatternFormats="0" applyAlignmentFormats="0" applyWidthHeightFormats="1" dataCaption="Values" updatedVersion="5" minRefreshableVersion="3" createdVersion="3" useAutoFormatting="1" compact="0" indent="0" outline="1" compactData="0" outlineData="1" showDrill="1" multipleFieldFilters="0" chartFormat="2">
  <location ref="K19:L30" firstHeaderRow="1" firstDataRow="1" firstDataCol="1"/>
  <pivotFields count="7">
    <pivotField compact="0" showAll="0">
      <items count="16">
        <item x="1"/>
        <item x="2"/>
        <item x="3"/>
        <item x="4"/>
        <item x="5"/>
        <item x="6"/>
        <item x="0"/>
        <item x="7"/>
        <item x="8"/>
        <item x="9"/>
        <item x="10"/>
        <item x="11"/>
        <item x="12"/>
        <item x="13"/>
        <item x="14"/>
        <item t="default"/>
      </items>
    </pivotField>
    <pivotField axis="axisRow" compact="0" sortType="ascending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/>
    <pivotField compact="0" showAll="0"/>
    <pivotField compact="0" showAll="0"/>
    <pivotField compact="0" showAll="0"/>
    <pivotField dataField="1" compact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"/>
  </rowFields>
  <rowItems count="11">
    <i>
      <x v="2"/>
    </i>
    <i>
      <x v="7"/>
    </i>
    <i>
      <x v="3"/>
    </i>
    <i>
      <x v="6"/>
    </i>
    <i>
      <x v="8"/>
    </i>
    <i>
      <x v="9"/>
    </i>
    <i>
      <x/>
    </i>
    <i>
      <x v="4"/>
    </i>
    <i>
      <x v="5"/>
    </i>
    <i>
      <x v="1"/>
    </i>
    <i t="grand">
      <x/>
    </i>
  </rowItems>
  <colItems count="1">
    <i/>
  </colItems>
  <dataFields count="1">
    <dataField name="Sum of Revenue " fld="6" baseField="0" baseItem="0"/>
  </dataFields>
  <formats count="3">
    <format dxfId="9">
      <pivotArea collapsedLevelsAreSubtotals="1" fieldPosition="0"/>
    </format>
    <format dxfId="10">
      <pivotArea type="all" dataOnly="0" outline="0" fieldPosition="0"/>
    </format>
    <format dxfId="11">
      <pivotArea type="all" dataOnly="0" outline="0" fieldPosition="0"/>
    </format>
  </formats>
  <pivotTableStyleInfo name="PivotStylePreset2_Accent1" showRowHeaders="1" showColHeaders="1"/>
</pivotTableDefinition>
</file>

<file path=xl/pivotTables/pivotTable6.xml><?xml version="1.0" encoding="utf-8"?>
<pivotTableDefinition xmlns="http://schemas.openxmlformats.org/spreadsheetml/2006/main" name="PivotTable5" cacheId="2" autoFormatId="1" applyNumberFormats="0" applyBorderFormats="0" applyFontFormats="0" applyPatternFormats="0" applyAlignmentFormats="0" applyWidthHeightFormats="1" dataCaption="Values" updatedVersion="5" minRefreshableVersion="3" createdVersion="3" useAutoFormatting="1" compact="0" indent="0" outline="1" compactData="0" outlineData="1" showDrill="1" multipleFieldFilters="0">
  <location ref="K32:M44" firstHeaderRow="1" firstDataRow="2" firstDataCol="1"/>
  <pivotFields count="7">
    <pivotField compact="0" showAll="0">
      <items count="16">
        <item x="1"/>
        <item x="2"/>
        <item x="3"/>
        <item x="4"/>
        <item x="5"/>
        <item x="6"/>
        <item x="0"/>
        <item x="7"/>
        <item x="8"/>
        <item x="9"/>
        <item x="10"/>
        <item x="11"/>
        <item x="12"/>
        <item x="13"/>
        <item x="14"/>
        <item t="default"/>
      </items>
    </pivotField>
    <pivotField axis="axisRow" compact="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compact="0" showAll="0"/>
    <pivotField compact="0" showAll="0"/>
    <pivotField dataField="1" compact="0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compact="0" showAll="0"/>
    <pivotField dataField="1" compact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dataFields count="2">
    <dataField name="Revenues" fld="6" baseField="0" baseItem="0"/>
    <dataField name="No of Units Sold" fld="4" baseField="0" baseItem="0"/>
  </dataFields>
  <pivotTableStyleInfo name="PivotStylePreset2_Accent1" showRowHeaders="1" showColHeaders="1"/>
</pivotTableDefinition>
</file>

<file path=xl/pivotTables/pivotTable7.xml><?xml version="1.0" encoding="utf-8"?>
<pivotTableDefinition xmlns="http://schemas.openxmlformats.org/spreadsheetml/2006/main" name="PivotTable7" cacheId="2" autoFormatId="1" applyNumberFormats="0" applyBorderFormats="0" applyFontFormats="0" applyPatternFormats="0" applyAlignmentFormats="0" applyWidthHeightFormats="1" dataCaption="Values" updatedVersion="5" minRefreshableVersion="3" createdVersion="3" useAutoFormatting="1" compact="0" indent="0" outline="1" compactData="0" outlineData="1" showDrill="1" multipleFieldFilters="0" chartFormat="2">
  <location ref="O4:P10" firstHeaderRow="1" firstDataRow="1" firstDataCol="1"/>
  <pivotFields count="7">
    <pivotField compact="0" showAll="0">
      <items count="16">
        <item x="1"/>
        <item x="2"/>
        <item x="3"/>
        <item x="4"/>
        <item x="5"/>
        <item x="6"/>
        <item x="0"/>
        <item x="7"/>
        <item x="8"/>
        <item x="9"/>
        <item x="10"/>
        <item x="11"/>
        <item x="12"/>
        <item x="13"/>
        <item x="14"/>
        <item t="default"/>
      </items>
    </pivotField>
    <pivotField compact="0" showAll="0"/>
    <pivotField compact="0" showAll="0"/>
    <pivotField axis="axisRow" compact="0" sortType="descending" showAll="0">
      <items count="6">
        <item x="0"/>
        <item x="1"/>
        <item x="2"/>
        <item x="3"/>
        <item x="4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compact="0" showAll="0"/>
    <pivotField compact="0" showAll="0"/>
  </pivotFields>
  <rowFields count="1">
    <field x="3"/>
  </rowFields>
  <rowItems count="6">
    <i>
      <x v="3"/>
    </i>
    <i>
      <x/>
    </i>
    <i>
      <x v="2"/>
    </i>
    <i>
      <x v="1"/>
    </i>
    <i>
      <x v="4"/>
    </i>
    <i t="grand">
      <x/>
    </i>
  </rowItems>
  <colItems count="1">
    <i/>
  </colItems>
  <dataFields count="1">
    <dataField name="Sum of Units Sold" fld="4" baseField="0" baseItem="0"/>
  </dataFields>
  <pivotTableStyleInfo name="PivotStylePreset2_Accent1" showRowHeaders="1" showColHeaders="1"/>
</pivotTableDefinition>
</file>

<file path=xl/tables/table1.xml><?xml version="1.0" encoding="utf-8"?>
<table xmlns="http://schemas.openxmlformats.org/spreadsheetml/2006/main" id="1" name="Table1" displayName="Table1" ref="D5:M15" totalsRowShown="0">
  <tableColumns count="10">
    <tableColumn id="1" name="Student ID"/>
    <tableColumn id="2" name="Name"/>
    <tableColumn id="3" name="Class"/>
    <tableColumn id="4" name="Math"/>
    <tableColumn id="5" name="English"/>
    <tableColumn id="6" name="Science"/>
    <tableColumn id="7" name="Total"/>
    <tableColumn id="8" name="Average"/>
    <tableColumn id="9" name="Highest Score"/>
    <tableColumn id="10" name="Lowest Score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4" name="Table3" displayName="Table3" ref="O5:P7" headerRowCount="0" totalsRowShown="0">
  <tableColumns count="2">
    <tableColumn id="1" name="Column1"/>
    <tableColumn id="2" name="Column2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id="5" name="Table4" displayName="Table4" ref="O9:P11" headerRowCount="0" totalsRowShown="0">
  <tableColumns count="2">
    <tableColumn id="1" name="Column1"/>
    <tableColumn id="2" name="Column2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id="9" name="Table8" displayName="Table8" ref="O13:P15" headerRowCount="0" totalsRowShown="0">
  <tableColumns count="2">
    <tableColumn id="1" name="Column1"/>
    <tableColumn id="2" name="Column2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id="2" name="Table10" displayName="Table10" ref="H4:I13" headerRowCount="0" totalsRowShown="0">
  <tableColumns count="2">
    <tableColumn id="1" name="Column1"/>
    <tableColumn id="2" name="Column2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id="10" name="Table9" displayName="Table9" ref="C4:F14" totalsRowShown="0">
  <autoFilter xmlns:etc="http://www.wps.cn/officeDocument/2017/etCustomData" ref="C4:F14" etc:filterBottomFollowUsedRange="0">
    <filterColumn colId="0" hiddenButton="1"/>
    <filterColumn colId="1" hiddenButton="1"/>
    <filterColumn colId="2" hiddenButton="1"/>
    <filterColumn colId="3" hiddenButton="1"/>
  </autoFilter>
  <tableColumns count="4">
    <tableColumn id="1" name="Employee"/>
    <tableColumn id="2" name="Department"/>
    <tableColumn id="3" name="Salary"/>
    <tableColumn id="4" name="Rating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id="3" name="Table2" displayName="Table2" ref="C3:I18" totalsRowShown="0">
  <tableColumns count="7">
    <tableColumn id="1" name="Employee ID"/>
    <tableColumn id="2" name="Name"/>
    <tableColumn id="3" name="Department"/>
    <tableColumn id="4" name="Salary ($)"/>
    <tableColumn id="5" name="Years of Service"/>
    <tableColumn id="6" name="Annual Salary"/>
    <tableColumn id="7" name="Bonus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id="6" name="Table5" displayName="Table5" ref="D20:E24" headerRowCount="0" totalsRowShown="0">
  <tableColumns count="2">
    <tableColumn id="1" name="Column1"/>
    <tableColumn id="2" name="Column2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id="7" name="Table6" displayName="Table6" ref="C4:F9" totalsRowShown="0">
  <tableColumns count="4">
    <tableColumn id="1" name="Product"/>
    <tableColumn id="2" name="Units Sold"/>
    <tableColumn id="3" name="Unit Price"/>
    <tableColumn id="4" name="Revenue"/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id="8" name="Table7" displayName="Table7" ref="D12:E15" headerRowCount="0" totalsRowShown="0">
  <tableColumns count="2">
    <tableColumn id="1" name="Column1"/>
    <tableColumn id="2" name="Column2"/>
  </tableColumns>
  <tableStyleInfo showFirstColumn="0" showLastColumn="0" showRowStripes="1" showColumnStripes="0"/>
</table>
</file>

<file path=xl/tables/table11.xml><?xml version="1.0" encoding="utf-8"?>
<table xmlns="http://schemas.openxmlformats.org/spreadsheetml/2006/main" id="11" name="Table11" displayName="Table11" ref="C4:I19" totalsRowShown="0">
  <autoFilter xmlns:etc="http://www.wps.cn/officeDocument/2017/etCustomData" ref="C4:I19" etc:filterBottomFollowUsedRange="0"/>
  <sortState ref="C4:I19">
    <sortCondition ref="I4" descending="1"/>
  </sortState>
  <tableColumns count="7">
    <tableColumn id="1" name="Date" dataDxfId="12"/>
    <tableColumn id="2" name="Salesperson" dataDxfId="13"/>
    <tableColumn id="3" name="Region" dataDxfId="14"/>
    <tableColumn id="4" name="Product" dataDxfId="15"/>
    <tableColumn id="5" name="Units Sold" dataDxfId="16"/>
    <tableColumn id="6" name="Unit Price" dataDxfId="17"/>
    <tableColumn id="7" name="Revenue " dataDxfId="18">
      <calculatedColumnFormula>G5*H5</calculatedColumnFormula>
    </tableColumn>
  </tableColumns>
  <tableStyleInfo name="TableStylePreset3_Accent1" showFirstColumn="0" showLastColumn="0" showRowStripes="1" showColumnStripes="0"/>
</table>
</file>

<file path=xl/tables/table12.xml><?xml version="1.0" encoding="utf-8"?>
<table xmlns="http://schemas.openxmlformats.org/spreadsheetml/2006/main" id="12" name="Table12" displayName="Table12" ref="C6:E16" totalsRowShown="0">
  <tableColumns count="3">
    <tableColumn id="1" name="Student" dataDxfId="19"/>
    <tableColumn id="2" name="Score" dataDxfId="20"/>
    <tableColumn id="3" name="Student Result" dataDxfId="21">
      <calculatedColumnFormula>IF(D7&gt;=50,"Passed","Failed")</calculatedColumnFormula>
    </tableColumn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</a:majorFont>
      <a:minorFont>
        <a:latin typeface="Aptos Narrow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table" Target="../tables/table4.xml"/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table" Target="../tables/table7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.xml"/><Relationship Id="rId2" Type="http://schemas.openxmlformats.org/officeDocument/2006/relationships/table" Target="../tables/table9.xml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6" Type="http://schemas.openxmlformats.org/officeDocument/2006/relationships/table" Target="../tables/table11.xml"/><Relationship Id="rId5" Type="http://schemas.openxmlformats.org/officeDocument/2006/relationships/pivotTable" Target="../pivotTables/pivotTable7.xml"/><Relationship Id="rId4" Type="http://schemas.openxmlformats.org/officeDocument/2006/relationships/pivotTable" Target="../pivotTables/pivotTable6.xml"/><Relationship Id="rId3" Type="http://schemas.openxmlformats.org/officeDocument/2006/relationships/pivotTable" Target="../pivotTables/pivotTable5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D4:P15"/>
  <sheetViews>
    <sheetView showGridLines="0" topLeftCell="B1" workbookViewId="0">
      <selection activeCell="H18" sqref="H18"/>
    </sheetView>
  </sheetViews>
  <sheetFormatPr defaultColWidth="8.75" defaultRowHeight="14.25"/>
  <cols>
    <col min="4" max="4" width="15.1416666666667" customWidth="1"/>
    <col min="5" max="5" width="10.8583333333333" customWidth="1"/>
    <col min="6" max="6" width="10.5666666666667" customWidth="1"/>
    <col min="7" max="7" width="10" customWidth="1"/>
    <col min="8" max="8" width="12.1416666666667" customWidth="1"/>
    <col min="9" max="9" width="12.7083333333333" customWidth="1"/>
    <col min="11" max="11" width="11.5666666666667" customWidth="1"/>
    <col min="12" max="12" width="8" customWidth="1"/>
    <col min="14" max="14" width="3.29166666666667" customWidth="1"/>
    <col min="15" max="15" width="29.1416666666667" customWidth="1"/>
    <col min="16" max="16" width="11.2916666666667" customWidth="1"/>
  </cols>
  <sheetData>
    <row r="4" ht="18" spans="4:13">
      <c r="D4" s="62" t="s">
        <v>0</v>
      </c>
      <c r="E4" s="62"/>
      <c r="F4" s="62"/>
      <c r="G4" s="62"/>
      <c r="H4" s="62"/>
      <c r="I4" s="62"/>
      <c r="J4" s="62"/>
      <c r="K4" s="62"/>
      <c r="L4" s="62"/>
      <c r="M4" s="62"/>
    </row>
    <row r="5" ht="30" spans="4:16">
      <c r="D5" s="27" t="s">
        <v>1</v>
      </c>
      <c r="E5" s="28" t="s">
        <v>2</v>
      </c>
      <c r="F5" s="28" t="s">
        <v>3</v>
      </c>
      <c r="G5" s="28" t="s">
        <v>4</v>
      </c>
      <c r="H5" s="28" t="s">
        <v>5</v>
      </c>
      <c r="I5" s="63" t="s">
        <v>6</v>
      </c>
      <c r="J5" s="28" t="s">
        <v>7</v>
      </c>
      <c r="K5" s="28" t="s">
        <v>8</v>
      </c>
      <c r="L5" s="28" t="s">
        <v>9</v>
      </c>
      <c r="M5" s="28" t="s">
        <v>10</v>
      </c>
      <c r="O5" s="94" t="s">
        <v>11</v>
      </c>
      <c r="P5" s="30">
        <f>COUNTIF(Table1[Class],"Grade 5")</f>
        <v>5</v>
      </c>
    </row>
    <row r="6" spans="4:16">
      <c r="D6" s="65">
        <v>1001</v>
      </c>
      <c r="E6" s="66" t="s">
        <v>12</v>
      </c>
      <c r="F6" s="66" t="s">
        <v>13</v>
      </c>
      <c r="G6" s="66">
        <v>85</v>
      </c>
      <c r="H6" s="66">
        <v>78</v>
      </c>
      <c r="I6" s="68">
        <v>90</v>
      </c>
      <c r="J6" s="95">
        <f>SUM(Table1[[#This Row],[Math]:[Science]])</f>
        <v>253</v>
      </c>
      <c r="K6" s="96">
        <f>AVERAGE(Table1[[#This Row],[Math]:[Science]])</f>
        <v>84.3333333333333</v>
      </c>
      <c r="L6" s="66">
        <f>MAX(Table1[[#This Row],[Math]:[Science]])</f>
        <v>90</v>
      </c>
      <c r="M6" s="66">
        <f>MIN(Table1[[#This Row],[Math]:[Science]])</f>
        <v>78</v>
      </c>
      <c r="O6" s="42" t="s">
        <v>14</v>
      </c>
      <c r="P6" s="97">
        <f>COUNTIF(Table1[[#All],[Class]],"Grade 6")</f>
        <v>5</v>
      </c>
    </row>
    <row r="7" spans="4:16">
      <c r="D7" s="65">
        <v>1002</v>
      </c>
      <c r="E7" s="66" t="s">
        <v>15</v>
      </c>
      <c r="F7" s="66" t="s">
        <v>13</v>
      </c>
      <c r="G7" s="66">
        <v>72</v>
      </c>
      <c r="H7" s="66">
        <v>91</v>
      </c>
      <c r="I7" s="68">
        <v>88</v>
      </c>
      <c r="J7" s="95">
        <f>SUM(Table1[[#This Row],[Math]:[Science]])</f>
        <v>251</v>
      </c>
      <c r="K7" s="96">
        <f>AVERAGE(Table1[[#This Row],[Math]:[Science]])</f>
        <v>83.6666666666667</v>
      </c>
      <c r="L7" s="66">
        <f>MAX(Table1[[#This Row],[Math]:[Science]])</f>
        <v>91</v>
      </c>
      <c r="M7" s="66">
        <f>MIN(Table1[[#This Row],[Math]:[Science]])</f>
        <v>72</v>
      </c>
      <c r="O7" s="43" t="s">
        <v>16</v>
      </c>
      <c r="P7" s="58">
        <f>COUNTIF(Table1[Math],"&gt;85")</f>
        <v>4</v>
      </c>
    </row>
    <row r="8" spans="4:13">
      <c r="D8" s="65">
        <v>1003</v>
      </c>
      <c r="E8" s="66" t="s">
        <v>17</v>
      </c>
      <c r="F8" s="66" t="s">
        <v>18</v>
      </c>
      <c r="G8" s="66">
        <v>95</v>
      </c>
      <c r="H8" s="66">
        <v>82</v>
      </c>
      <c r="I8" s="68">
        <v>87</v>
      </c>
      <c r="J8" s="95">
        <f>SUM(Table1[[#This Row],[Math]:[Science]])</f>
        <v>264</v>
      </c>
      <c r="K8" s="96">
        <f>AVERAGE(Table1[[#This Row],[Math]:[Science]])</f>
        <v>88</v>
      </c>
      <c r="L8" s="66">
        <f>MAX(Table1[[#This Row],[Math]:[Science]])</f>
        <v>95</v>
      </c>
      <c r="M8" s="66">
        <f>MIN(Table1[[#This Row],[Math]:[Science]])</f>
        <v>82</v>
      </c>
    </row>
    <row r="9" spans="4:16">
      <c r="D9" s="65">
        <v>1004</v>
      </c>
      <c r="E9" s="66" t="s">
        <v>19</v>
      </c>
      <c r="F9" s="66" t="s">
        <v>18</v>
      </c>
      <c r="G9" s="66">
        <v>80</v>
      </c>
      <c r="H9" s="66">
        <v>84</v>
      </c>
      <c r="I9" s="68">
        <v>76</v>
      </c>
      <c r="J9" s="95">
        <f>SUM(Table1[[#This Row],[Math]:[Science]])</f>
        <v>240</v>
      </c>
      <c r="K9" s="96">
        <f>AVERAGE(Table1[[#This Row],[Math]:[Science]])</f>
        <v>80</v>
      </c>
      <c r="L9" s="66">
        <f>MAX(Table1[[#This Row],[Math]:[Science]])</f>
        <v>84</v>
      </c>
      <c r="M9" s="66">
        <f>MIN(Table1[[#This Row],[Math]:[Science]])</f>
        <v>76</v>
      </c>
      <c r="O9" s="94" t="s">
        <v>20</v>
      </c>
      <c r="P9" s="30">
        <f>SUMIF(Table1[Class],"Grade 5",Table1[Math])</f>
        <v>444</v>
      </c>
    </row>
    <row r="10" spans="4:16">
      <c r="D10" s="65">
        <v>1005</v>
      </c>
      <c r="E10" s="66" t="s">
        <v>21</v>
      </c>
      <c r="F10" s="66" t="s">
        <v>13</v>
      </c>
      <c r="G10" s="66">
        <v>68</v>
      </c>
      <c r="H10" s="66">
        <v>75</v>
      </c>
      <c r="I10" s="68">
        <v>81</v>
      </c>
      <c r="J10" s="95">
        <f>SUM(Table1[[#This Row],[Math]:[Science]])</f>
        <v>224</v>
      </c>
      <c r="K10" s="96">
        <f>AVERAGE(Table1[[#This Row],[Math]:[Science]])</f>
        <v>74.6666666666667</v>
      </c>
      <c r="L10" s="66">
        <f>MAX(Table1[[#This Row],[Math]:[Science]])</f>
        <v>81</v>
      </c>
      <c r="M10" s="66">
        <f>MIN(Table1[[#This Row],[Math]:[Science]])</f>
        <v>68</v>
      </c>
      <c r="O10" s="42" t="s">
        <v>22</v>
      </c>
      <c r="P10" s="97">
        <f>SUMIF(Table1[Class],"Grade 6",Table1[Math])</f>
        <v>385</v>
      </c>
    </row>
    <row r="11" spans="4:16">
      <c r="D11" s="65">
        <v>1006</v>
      </c>
      <c r="E11" s="66" t="s">
        <v>23</v>
      </c>
      <c r="F11" s="66" t="s">
        <v>18</v>
      </c>
      <c r="G11" s="66">
        <v>90</v>
      </c>
      <c r="H11" s="66">
        <v>93</v>
      </c>
      <c r="I11" s="68">
        <v>95</v>
      </c>
      <c r="J11" s="95">
        <f>SUM(Table1[[#This Row],[Math]:[Science]])</f>
        <v>278</v>
      </c>
      <c r="K11" s="96">
        <f>AVERAGE(Table1[[#This Row],[Math]:[Science]])</f>
        <v>92.6666666666667</v>
      </c>
      <c r="L11" s="66">
        <f>MAX(Table1[[#This Row],[Math]:[Science]])</f>
        <v>95</v>
      </c>
      <c r="M11" s="66">
        <f>MIN(Table1[[#This Row],[Math]:[Science]])</f>
        <v>90</v>
      </c>
      <c r="O11" s="43" t="s">
        <v>24</v>
      </c>
      <c r="P11" s="58">
        <f>SUMIF(Table1[Class],"Grade 5",Table1[Science])</f>
        <v>440</v>
      </c>
    </row>
    <row r="12" spans="4:13">
      <c r="D12" s="65">
        <v>1007</v>
      </c>
      <c r="E12" s="66" t="s">
        <v>25</v>
      </c>
      <c r="F12" s="66" t="s">
        <v>13</v>
      </c>
      <c r="G12" s="66">
        <v>77</v>
      </c>
      <c r="H12" s="66">
        <v>86</v>
      </c>
      <c r="I12" s="68">
        <v>80</v>
      </c>
      <c r="J12" s="95">
        <f>SUM(Table1[[#This Row],[Math]:[Science]])</f>
        <v>243</v>
      </c>
      <c r="K12" s="96">
        <f>AVERAGE(Table1[[#This Row],[Math]:[Science]])</f>
        <v>81</v>
      </c>
      <c r="L12" s="66">
        <f>MAX(Table1[[#This Row],[Math]:[Science]])</f>
        <v>86</v>
      </c>
      <c r="M12" s="66">
        <f>MIN(Table1[[#This Row],[Math]:[Science]])</f>
        <v>77</v>
      </c>
    </row>
    <row r="13" spans="4:16">
      <c r="D13" s="65">
        <v>1008</v>
      </c>
      <c r="E13" s="66" t="s">
        <v>26</v>
      </c>
      <c r="F13" s="66" t="s">
        <v>18</v>
      </c>
      <c r="G13" s="66">
        <v>88</v>
      </c>
      <c r="H13" s="66">
        <v>89</v>
      </c>
      <c r="I13" s="68">
        <v>92</v>
      </c>
      <c r="J13" s="95">
        <f>SUM(Table1[[#This Row],[Math]:[Science]])</f>
        <v>269</v>
      </c>
      <c r="K13" s="96">
        <f>AVERAGE(Table1[[#This Row],[Math]:[Science]])</f>
        <v>89.6666666666667</v>
      </c>
      <c r="L13" s="66">
        <f>MAX(Table1[[#This Row],[Math]:[Science]])</f>
        <v>92</v>
      </c>
      <c r="M13" s="66">
        <f>MIN(Table1[[#This Row],[Math]:[Science]])</f>
        <v>88</v>
      </c>
      <c r="O13" s="94" t="s">
        <v>27</v>
      </c>
      <c r="P13" s="30">
        <f>AVERAGEIF(Table1[Class],"Grade 5",Table1[Math])</f>
        <v>88.8</v>
      </c>
    </row>
    <row r="14" spans="4:16">
      <c r="D14" s="65">
        <v>1009</v>
      </c>
      <c r="E14" s="66" t="s">
        <v>28</v>
      </c>
      <c r="F14" s="66" t="s">
        <v>13</v>
      </c>
      <c r="G14" s="66">
        <v>83</v>
      </c>
      <c r="H14" s="66">
        <v>79</v>
      </c>
      <c r="I14" s="68">
        <v>84</v>
      </c>
      <c r="J14" s="95">
        <f>SUM(Table1[[#This Row],[Math]:[Science]])</f>
        <v>246</v>
      </c>
      <c r="K14" s="96">
        <f>AVERAGE(Table1[[#This Row],[Math]:[Science]])</f>
        <v>82</v>
      </c>
      <c r="L14" s="66">
        <f>MAX(Table1[[#This Row],[Math]:[Science]])</f>
        <v>84</v>
      </c>
      <c r="M14" s="66">
        <f>MIN(Table1[[#This Row],[Math]:[Science]])</f>
        <v>79</v>
      </c>
      <c r="O14" s="42" t="s">
        <v>29</v>
      </c>
      <c r="P14" s="97">
        <f>AVERAGEIF(Table1[Class],"Grade 6",Table1[Math])</f>
        <v>77</v>
      </c>
    </row>
    <row r="15" spans="4:16">
      <c r="D15" s="71">
        <v>1010</v>
      </c>
      <c r="E15" s="72" t="s">
        <v>30</v>
      </c>
      <c r="F15" s="72" t="s">
        <v>18</v>
      </c>
      <c r="G15" s="72">
        <v>91</v>
      </c>
      <c r="H15" s="72">
        <v>87</v>
      </c>
      <c r="I15" s="74">
        <v>90</v>
      </c>
      <c r="J15" s="95">
        <f>SUM(Table1[[#This Row],[Math]:[Science]])</f>
        <v>268</v>
      </c>
      <c r="K15" s="96">
        <f>AVERAGE(Table1[[#This Row],[Math]:[Science]])</f>
        <v>89.3333333333333</v>
      </c>
      <c r="L15" s="66">
        <f>MAX(Table1[[#This Row],[Math]:[Science]])</f>
        <v>91</v>
      </c>
      <c r="M15" s="66">
        <f>MIN(Table1[[#This Row],[Math]:[Science]])</f>
        <v>87</v>
      </c>
      <c r="O15" s="43" t="s">
        <v>31</v>
      </c>
      <c r="P15" s="58">
        <f>AVERAGEIF(Table1[Class],"Grade 6",Table1[Science])</f>
        <v>84.6</v>
      </c>
    </row>
  </sheetData>
  <mergeCells count="1">
    <mergeCell ref="D4:M4"/>
  </mergeCells>
  <pageMargins left="0.7" right="0.7" top="0.75" bottom="0.75" header="0.511811023622047" footer="0.511811023622047"/>
  <pageSetup paperSize="1" orientation="portrait" horizontalDpi="300" verticalDpi="300"/>
  <headerFooter/>
  <tableParts count="4">
    <tablePart r:id="rId1"/>
    <tablePart r:id="rId2"/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D3:I33"/>
  <sheetViews>
    <sheetView workbookViewId="0">
      <selection activeCell="H2" sqref="H2"/>
    </sheetView>
  </sheetViews>
  <sheetFormatPr defaultColWidth="8.75" defaultRowHeight="14.25"/>
  <cols>
    <col min="4" max="4" width="17.1416666666667" customWidth="1"/>
    <col min="5" max="5" width="26.1416666666667" customWidth="1"/>
    <col min="6" max="6" width="16" customWidth="1"/>
    <col min="7" max="7" width="12.8583333333333" customWidth="1"/>
    <col min="8" max="8" width="16" customWidth="1"/>
    <col min="9" max="9" width="13.8583333333333" customWidth="1"/>
  </cols>
  <sheetData>
    <row r="3" ht="15" spans="4:9">
      <c r="D3" s="85" t="s">
        <v>32</v>
      </c>
      <c r="E3" s="85"/>
      <c r="F3" s="85"/>
      <c r="G3" s="85"/>
      <c r="H3" s="85"/>
      <c r="I3" s="85"/>
    </row>
    <row r="4" ht="30" spans="4:9">
      <c r="D4" s="86" t="s">
        <v>33</v>
      </c>
      <c r="E4" s="86" t="s">
        <v>34</v>
      </c>
      <c r="F4" s="86" t="s">
        <v>35</v>
      </c>
      <c r="G4" s="86" t="s">
        <v>36</v>
      </c>
      <c r="H4" s="86" t="s">
        <v>37</v>
      </c>
      <c r="I4" s="86" t="s">
        <v>38</v>
      </c>
    </row>
    <row r="5" spans="4:9">
      <c r="D5" s="66">
        <v>1001</v>
      </c>
      <c r="E5" s="87" t="s">
        <v>39</v>
      </c>
      <c r="F5" s="66" t="s">
        <v>40</v>
      </c>
      <c r="G5" s="66">
        <v>6000</v>
      </c>
      <c r="H5" s="88" t="str">
        <f t="array" ref="H5:H13">PROPER(TRIM(E5:E13))</f>
        <v>John Smith</v>
      </c>
      <c r="I5" s="24" t="str">
        <f t="array" ref="I5:I13">UPPER(TRIM(F5:F13))</f>
        <v>HR</v>
      </c>
    </row>
    <row r="6" spans="4:9">
      <c r="D6" s="66">
        <v>1002</v>
      </c>
      <c r="E6" s="87" t="s">
        <v>41</v>
      </c>
      <c r="F6" s="66" t="s">
        <v>42</v>
      </c>
      <c r="G6" s="66">
        <v>8500</v>
      </c>
      <c r="H6" s="88" t="str">
        <v>Mary Jones</v>
      </c>
      <c r="I6" s="24" t="str">
        <v>IT</v>
      </c>
    </row>
    <row r="7" spans="4:9">
      <c r="D7" s="66">
        <v>1003</v>
      </c>
      <c r="E7" s="87" t="s">
        <v>43</v>
      </c>
      <c r="F7" s="66" t="s">
        <v>44</v>
      </c>
      <c r="G7" s="66">
        <v>7200</v>
      </c>
      <c r="H7" s="88" t="str">
        <v>David Brown</v>
      </c>
      <c r="I7" s="24" t="str">
        <v>FINANCE</v>
      </c>
    </row>
    <row r="8" spans="4:9">
      <c r="D8" s="66">
        <v>1004</v>
      </c>
      <c r="E8" s="87" t="s">
        <v>45</v>
      </c>
      <c r="F8" s="66" t="s">
        <v>40</v>
      </c>
      <c r="G8" s="66">
        <v>6100</v>
      </c>
      <c r="H8" s="88" t="str">
        <v>Sarah Johnson</v>
      </c>
      <c r="I8" s="24" t="str">
        <v>HR</v>
      </c>
    </row>
    <row r="9" spans="4:9">
      <c r="D9" s="66">
        <v>1005</v>
      </c>
      <c r="E9" s="87" t="s">
        <v>46</v>
      </c>
      <c r="F9" s="66" t="s">
        <v>42</v>
      </c>
      <c r="G9" s="66">
        <v>9000</v>
      </c>
      <c r="H9" s="88" t="str">
        <v>Grace Wilson</v>
      </c>
      <c r="I9" s="24" t="str">
        <v>IT</v>
      </c>
    </row>
    <row r="10" spans="4:9">
      <c r="D10" s="66">
        <v>1006</v>
      </c>
      <c r="E10" s="87" t="s">
        <v>47</v>
      </c>
      <c r="F10" s="66" t="s">
        <v>44</v>
      </c>
      <c r="G10" s="89">
        <v>7000</v>
      </c>
      <c r="H10" s="88" t="str">
        <v>Peter Adams</v>
      </c>
      <c r="I10" s="24" t="str">
        <v>FINANCE</v>
      </c>
    </row>
    <row r="11" spans="4:9">
      <c r="D11" s="66">
        <v>1007</v>
      </c>
      <c r="E11" s="87" t="s">
        <v>48</v>
      </c>
      <c r="F11" s="66" t="s">
        <v>49</v>
      </c>
      <c r="G11" s="66">
        <v>5800</v>
      </c>
      <c r="H11" s="88" t="str">
        <v>Ruth White</v>
      </c>
      <c r="I11" s="24" t="str">
        <v>HR</v>
      </c>
    </row>
    <row r="12" spans="4:9">
      <c r="D12" s="66">
        <v>1008</v>
      </c>
      <c r="E12" s="87" t="s">
        <v>50</v>
      </c>
      <c r="F12" s="66" t="s">
        <v>44</v>
      </c>
      <c r="G12" s="66">
        <v>7600</v>
      </c>
      <c r="H12" s="88" t="str">
        <v>Daniel Green</v>
      </c>
      <c r="I12" s="24" t="str">
        <v>FINANCE</v>
      </c>
    </row>
    <row r="13" spans="4:9">
      <c r="D13" s="66">
        <v>1009</v>
      </c>
      <c r="E13" s="87" t="s">
        <v>51</v>
      </c>
      <c r="F13" s="66" t="s">
        <v>42</v>
      </c>
      <c r="G13" s="66">
        <v>8300</v>
      </c>
      <c r="H13" s="88" t="str">
        <v>Esther Black</v>
      </c>
      <c r="I13" s="24" t="str">
        <v>IT</v>
      </c>
    </row>
    <row r="16" ht="15" spans="4:9">
      <c r="D16" s="85" t="s">
        <v>52</v>
      </c>
      <c r="E16" s="85"/>
      <c r="F16" s="85"/>
      <c r="G16" s="85"/>
      <c r="H16" s="85"/>
      <c r="I16" s="85"/>
    </row>
    <row r="17" ht="30" spans="4:9">
      <c r="D17" s="86" t="s">
        <v>33</v>
      </c>
      <c r="E17" s="86" t="s">
        <v>34</v>
      </c>
      <c r="F17" s="86" t="s">
        <v>35</v>
      </c>
      <c r="G17" s="86" t="s">
        <v>36</v>
      </c>
      <c r="H17" s="86" t="s">
        <v>37</v>
      </c>
      <c r="I17" s="86" t="s">
        <v>38</v>
      </c>
    </row>
    <row r="18" spans="4:9">
      <c r="D18" s="66">
        <v>1002</v>
      </c>
      <c r="E18" s="87" t="s">
        <v>41</v>
      </c>
      <c r="F18" s="66" t="s">
        <v>42</v>
      </c>
      <c r="G18" s="66">
        <v>8500</v>
      </c>
      <c r="H18" s="88" t="s">
        <v>41</v>
      </c>
      <c r="I18" s="24" t="s">
        <v>42</v>
      </c>
    </row>
    <row r="19" spans="4:9">
      <c r="D19" s="66">
        <v>1005</v>
      </c>
      <c r="E19" s="87" t="s">
        <v>46</v>
      </c>
      <c r="F19" s="66" t="s">
        <v>42</v>
      </c>
      <c r="G19" s="66">
        <v>9000</v>
      </c>
      <c r="H19" s="88" t="s">
        <v>46</v>
      </c>
      <c r="I19" s="24" t="s">
        <v>42</v>
      </c>
    </row>
    <row r="20" spans="4:9">
      <c r="D20" s="66">
        <v>1009</v>
      </c>
      <c r="E20" s="87" t="s">
        <v>51</v>
      </c>
      <c r="F20" s="66" t="s">
        <v>42</v>
      </c>
      <c r="G20" s="66">
        <v>8300</v>
      </c>
      <c r="H20" s="88" t="s">
        <v>51</v>
      </c>
      <c r="I20" s="24" t="s">
        <v>42</v>
      </c>
    </row>
    <row r="21" spans="4:9">
      <c r="D21" s="90"/>
      <c r="E21" s="91"/>
      <c r="F21" s="90"/>
      <c r="G21" s="90"/>
      <c r="H21" s="92"/>
      <c r="I21" s="93"/>
    </row>
    <row r="22" ht="15" spans="4:9">
      <c r="D22" s="85" t="s">
        <v>53</v>
      </c>
      <c r="E22" s="85"/>
      <c r="F22" s="85"/>
      <c r="G22" s="85"/>
      <c r="H22" s="85"/>
      <c r="I22" s="85"/>
    </row>
    <row r="23" ht="30" spans="4:9">
      <c r="D23" s="86" t="s">
        <v>33</v>
      </c>
      <c r="E23" s="86" t="s">
        <v>34</v>
      </c>
      <c r="F23" s="86" t="s">
        <v>35</v>
      </c>
      <c r="G23" s="86" t="s">
        <v>36</v>
      </c>
      <c r="H23" s="86" t="s">
        <v>37</v>
      </c>
      <c r="I23" s="86" t="s">
        <v>38</v>
      </c>
    </row>
    <row r="24" spans="4:9">
      <c r="D24" s="66">
        <v>1002</v>
      </c>
      <c r="E24" s="87" t="s">
        <v>41</v>
      </c>
      <c r="F24" s="66" t="s">
        <v>42</v>
      </c>
      <c r="G24" s="66">
        <v>8500</v>
      </c>
      <c r="H24" s="88" t="s">
        <v>41</v>
      </c>
      <c r="I24" s="24" t="s">
        <v>42</v>
      </c>
    </row>
    <row r="25" spans="4:9">
      <c r="D25" s="66">
        <v>1005</v>
      </c>
      <c r="E25" s="87" t="s">
        <v>46</v>
      </c>
      <c r="F25" s="66" t="s">
        <v>42</v>
      </c>
      <c r="G25" s="66">
        <v>9000</v>
      </c>
      <c r="H25" s="88" t="s">
        <v>46</v>
      </c>
      <c r="I25" s="24" t="s">
        <v>42</v>
      </c>
    </row>
    <row r="26" spans="4:9">
      <c r="D26" s="66">
        <v>1009</v>
      </c>
      <c r="E26" s="87" t="s">
        <v>51</v>
      </c>
      <c r="F26" s="66" t="s">
        <v>42</v>
      </c>
      <c r="G26" s="66">
        <v>8300</v>
      </c>
      <c r="H26" s="88" t="s">
        <v>51</v>
      </c>
      <c r="I26" s="24" t="s">
        <v>42</v>
      </c>
    </row>
    <row r="29" ht="15" spans="4:9">
      <c r="D29" s="85" t="s">
        <v>54</v>
      </c>
      <c r="E29" s="85"/>
      <c r="F29" s="85"/>
      <c r="G29" s="85"/>
      <c r="H29" s="85"/>
      <c r="I29" s="85"/>
    </row>
    <row r="30" ht="30" spans="4:9">
      <c r="D30" s="86" t="s">
        <v>33</v>
      </c>
      <c r="E30" s="86" t="s">
        <v>34</v>
      </c>
      <c r="F30" s="86" t="s">
        <v>35</v>
      </c>
      <c r="G30" s="86" t="s">
        <v>36</v>
      </c>
      <c r="H30" s="86" t="s">
        <v>37</v>
      </c>
      <c r="I30" s="86" t="s">
        <v>38</v>
      </c>
    </row>
    <row r="31" spans="4:9">
      <c r="D31" s="66">
        <v>1003</v>
      </c>
      <c r="E31" s="87" t="s">
        <v>43</v>
      </c>
      <c r="F31" s="66" t="s">
        <v>44</v>
      </c>
      <c r="G31" s="66">
        <v>7200</v>
      </c>
      <c r="H31" s="88" t="s">
        <v>43</v>
      </c>
      <c r="I31" s="24" t="s">
        <v>55</v>
      </c>
    </row>
    <row r="32" spans="4:9">
      <c r="D32" s="66">
        <v>1006</v>
      </c>
      <c r="E32" s="87" t="s">
        <v>47</v>
      </c>
      <c r="F32" s="66" t="s">
        <v>44</v>
      </c>
      <c r="G32" s="89">
        <v>7000</v>
      </c>
      <c r="H32" s="88" t="s">
        <v>47</v>
      </c>
      <c r="I32" s="24" t="s">
        <v>55</v>
      </c>
    </row>
    <row r="33" spans="4:9">
      <c r="D33" s="66">
        <v>1008</v>
      </c>
      <c r="E33" s="87" t="s">
        <v>50</v>
      </c>
      <c r="F33" s="66" t="s">
        <v>44</v>
      </c>
      <c r="G33" s="66">
        <v>7600</v>
      </c>
      <c r="H33" s="88" t="s">
        <v>50</v>
      </c>
      <c r="I33" s="24" t="s">
        <v>55</v>
      </c>
    </row>
  </sheetData>
  <autoFilter xmlns:etc="http://www.wps.cn/officeDocument/2017/etCustomData" ref="D4:I13" etc:filterBottomFollowUsedRange="0">
    <extLst/>
  </autoFilter>
  <mergeCells count="4">
    <mergeCell ref="D3:I3"/>
    <mergeCell ref="D16:I16"/>
    <mergeCell ref="D22:I22"/>
    <mergeCell ref="D29:I29"/>
  </mergeCells>
  <pageMargins left="0.7" right="0.7" top="0.75" bottom="0.75" header="0.511811023622047" footer="0.511811023622047"/>
  <pageSetup paperSize="1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3:L19"/>
  <sheetViews>
    <sheetView topLeftCell="A3" workbookViewId="0">
      <selection activeCell="K4" sqref="K4"/>
    </sheetView>
  </sheetViews>
  <sheetFormatPr defaultColWidth="8.75" defaultRowHeight="14.25"/>
  <cols>
    <col min="3" max="3" width="12.1416666666667" customWidth="1"/>
    <col min="4" max="4" width="14" customWidth="1"/>
    <col min="5" max="5" width="10" customWidth="1"/>
    <col min="7" max="7" width="9.14166666666667" customWidth="1"/>
    <col min="8" max="8" width="25.7083333333333" customWidth="1"/>
    <col min="11" max="12" width="14.1416666666667" customWidth="1"/>
    <col min="14" max="14" width="42.8583333333333" customWidth="1"/>
    <col min="15" max="15" width="12.7083333333333" customWidth="1"/>
  </cols>
  <sheetData>
    <row r="3" ht="18" spans="3:6">
      <c r="C3" s="62" t="s">
        <v>56</v>
      </c>
      <c r="D3" s="62"/>
      <c r="E3" s="62"/>
      <c r="F3" s="62"/>
    </row>
    <row r="4" ht="15" spans="3:12">
      <c r="C4" s="27" t="s">
        <v>57</v>
      </c>
      <c r="D4" s="28" t="s">
        <v>35</v>
      </c>
      <c r="E4" s="28" t="s">
        <v>36</v>
      </c>
      <c r="F4" s="63" t="s">
        <v>58</v>
      </c>
      <c r="H4" s="64" t="s">
        <v>59</v>
      </c>
      <c r="I4" s="76">
        <f>COUNTIF(Table9[Department],"HR")</f>
        <v>4</v>
      </c>
      <c r="K4" s="77" t="s">
        <v>35</v>
      </c>
      <c r="L4" t="s">
        <v>60</v>
      </c>
    </row>
    <row r="5" spans="3:12">
      <c r="C5" s="65" t="s">
        <v>12</v>
      </c>
      <c r="D5" s="66" t="s">
        <v>49</v>
      </c>
      <c r="E5" s="67">
        <v>5500</v>
      </c>
      <c r="F5" s="68">
        <v>4</v>
      </c>
      <c r="H5" s="69" t="s">
        <v>61</v>
      </c>
      <c r="I5" s="78">
        <f>COUNTIF(Table9[Department],"IT")</f>
        <v>3</v>
      </c>
      <c r="K5" s="79" t="s">
        <v>44</v>
      </c>
      <c r="L5" s="80">
        <v>7233.33333333333</v>
      </c>
    </row>
    <row r="6" spans="3:12">
      <c r="C6" s="65" t="s">
        <v>15</v>
      </c>
      <c r="D6" s="66" t="s">
        <v>42</v>
      </c>
      <c r="E6" s="67">
        <v>8000</v>
      </c>
      <c r="F6" s="68">
        <v>5</v>
      </c>
      <c r="H6" s="69" t="s">
        <v>62</v>
      </c>
      <c r="I6" s="81">
        <f>SUMIF(Table9[Department],"HR",Table9[Salary])</f>
        <v>23400</v>
      </c>
      <c r="K6" s="79" t="s">
        <v>49</v>
      </c>
      <c r="L6" s="80">
        <v>5850</v>
      </c>
    </row>
    <row r="7" spans="3:12">
      <c r="C7" s="65" t="s">
        <v>17</v>
      </c>
      <c r="D7" s="66" t="s">
        <v>44</v>
      </c>
      <c r="E7" s="67">
        <v>7000</v>
      </c>
      <c r="F7" s="68">
        <v>3</v>
      </c>
      <c r="H7" s="69" t="s">
        <v>63</v>
      </c>
      <c r="I7" s="81">
        <f>SUMIF(Table9[Department],"IT",Table9[Salary])</f>
        <v>25500</v>
      </c>
      <c r="K7" s="79" t="s">
        <v>42</v>
      </c>
      <c r="L7" s="80">
        <v>8500</v>
      </c>
    </row>
    <row r="8" spans="3:12">
      <c r="C8" s="65" t="s">
        <v>19</v>
      </c>
      <c r="D8" s="66" t="s">
        <v>49</v>
      </c>
      <c r="E8" s="67">
        <v>6000</v>
      </c>
      <c r="F8" s="68">
        <v>4</v>
      </c>
      <c r="H8" s="69" t="s">
        <v>64</v>
      </c>
      <c r="I8" s="81">
        <f>AVERAGEIF(Table9[Department],"Finance",Table9[Salary])</f>
        <v>7233.33333333333</v>
      </c>
      <c r="K8" s="79" t="s">
        <v>65</v>
      </c>
      <c r="L8" s="80">
        <v>7060</v>
      </c>
    </row>
    <row r="9" spans="3:9">
      <c r="C9" s="65" t="s">
        <v>21</v>
      </c>
      <c r="D9" s="66" t="s">
        <v>42</v>
      </c>
      <c r="E9" s="67">
        <v>9000</v>
      </c>
      <c r="F9" s="68">
        <v>5</v>
      </c>
      <c r="H9" s="70" t="s">
        <v>66</v>
      </c>
      <c r="I9" s="82">
        <f>AVERAGEIF(Table9[Department],"HR",Table9[Rating])</f>
        <v>4</v>
      </c>
    </row>
    <row r="10" spans="3:9">
      <c r="C10" s="65" t="s">
        <v>23</v>
      </c>
      <c r="D10" s="66" t="s">
        <v>44</v>
      </c>
      <c r="E10" s="67">
        <v>7500</v>
      </c>
      <c r="F10" s="68">
        <v>4</v>
      </c>
      <c r="H10" s="69" t="s">
        <v>67</v>
      </c>
      <c r="I10" s="81">
        <f>AVERAGEIF(Table9[Department],"HR",Table9[Salary])</f>
        <v>5850</v>
      </c>
    </row>
    <row r="11" spans="3:9">
      <c r="C11" s="65" t="s">
        <v>28</v>
      </c>
      <c r="D11" s="66" t="s">
        <v>49</v>
      </c>
      <c r="E11" s="67">
        <v>5800</v>
      </c>
      <c r="F11" s="68">
        <v>3</v>
      </c>
      <c r="H11" s="70" t="s">
        <v>68</v>
      </c>
      <c r="I11" s="83">
        <f>AVERAGEIF(Table9[Department],"IT",Table9[Salary])</f>
        <v>8500</v>
      </c>
    </row>
    <row r="12" spans="3:9">
      <c r="C12" s="65" t="s">
        <v>26</v>
      </c>
      <c r="D12" s="66" t="s">
        <v>42</v>
      </c>
      <c r="E12" s="67">
        <v>8500</v>
      </c>
      <c r="F12" s="68">
        <v>5</v>
      </c>
      <c r="H12" s="70" t="s">
        <v>69</v>
      </c>
      <c r="I12" s="82">
        <f>AVERAGEIF(Table9[Department],"IT",Table9[Rating])</f>
        <v>5</v>
      </c>
    </row>
    <row r="13" spans="3:9">
      <c r="C13" s="65" t="s">
        <v>25</v>
      </c>
      <c r="D13" s="66" t="s">
        <v>44</v>
      </c>
      <c r="E13" s="67">
        <v>7200</v>
      </c>
      <c r="F13" s="68">
        <v>4</v>
      </c>
      <c r="H13" s="70" t="s">
        <v>70</v>
      </c>
      <c r="I13" s="84">
        <f>AVERAGEIF(Table9[Department],"Finance",Table9[Rating])</f>
        <v>3.66666666666667</v>
      </c>
    </row>
    <row r="14" spans="3:6">
      <c r="C14" s="71" t="s">
        <v>30</v>
      </c>
      <c r="D14" s="72" t="s">
        <v>49</v>
      </c>
      <c r="E14" s="73">
        <v>6100</v>
      </c>
      <c r="F14" s="74">
        <v>5</v>
      </c>
    </row>
    <row r="16" spans="3:6">
      <c r="C16" s="75" t="s">
        <v>71</v>
      </c>
      <c r="D16" s="75"/>
      <c r="E16" s="75"/>
      <c r="F16" s="75"/>
    </row>
    <row r="17" spans="3:6">
      <c r="C17" s="75" t="s">
        <v>72</v>
      </c>
      <c r="D17" s="75"/>
      <c r="E17" s="75"/>
      <c r="F17" s="75"/>
    </row>
    <row r="18" spans="3:6">
      <c r="C18" s="75" t="s">
        <v>73</v>
      </c>
      <c r="D18" s="75"/>
      <c r="E18" s="75"/>
      <c r="F18" s="75"/>
    </row>
    <row r="19" spans="3:6">
      <c r="C19" s="75" t="s">
        <v>74</v>
      </c>
      <c r="D19" s="75"/>
      <c r="E19" s="75"/>
      <c r="F19" s="75"/>
    </row>
  </sheetData>
  <mergeCells count="5">
    <mergeCell ref="C3:F3"/>
    <mergeCell ref="C16:F16"/>
    <mergeCell ref="C17:F17"/>
    <mergeCell ref="C18:F18"/>
    <mergeCell ref="C19:F19"/>
  </mergeCells>
  <pageMargins left="0.7" right="0.7" top="0.75" bottom="0.75" header="0.511811023622047" footer="0.511811023622047"/>
  <pageSetup paperSize="1" orientation="portrait" horizontalDpi="300" verticalDpi="300"/>
  <headerFooter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2:L24"/>
  <sheetViews>
    <sheetView workbookViewId="0">
      <selection activeCell="K3" sqref="K3"/>
    </sheetView>
  </sheetViews>
  <sheetFormatPr defaultColWidth="8.75" defaultRowHeight="14.25"/>
  <cols>
    <col min="3" max="3" width="17" customWidth="1"/>
    <col min="4" max="4" width="20.4333333333333" customWidth="1"/>
    <col min="5" max="5" width="16.4333333333333" customWidth="1"/>
    <col min="6" max="6" width="15.2916666666667" customWidth="1"/>
    <col min="7" max="7" width="20.1416666666667" customWidth="1"/>
    <col min="8" max="8" width="17.7083333333333" customWidth="1"/>
    <col min="9" max="9" width="11.1416666666667" customWidth="1"/>
    <col min="11" max="11" width="14.1416666666667" customWidth="1"/>
    <col min="12" max="12" width="20.2916666666667" customWidth="1"/>
  </cols>
  <sheetData>
    <row r="2" ht="18.75" spans="3:9">
      <c r="C2" s="52" t="s">
        <v>75</v>
      </c>
      <c r="D2" s="52"/>
      <c r="E2" s="52"/>
      <c r="F2" s="52"/>
      <c r="G2" s="52"/>
      <c r="H2" s="52"/>
      <c r="I2" s="52"/>
    </row>
    <row r="3" spans="3:12">
      <c r="C3" s="53" t="s">
        <v>33</v>
      </c>
      <c r="D3" s="53" t="s">
        <v>2</v>
      </c>
      <c r="E3" s="53" t="s">
        <v>35</v>
      </c>
      <c r="F3" s="54" t="s">
        <v>76</v>
      </c>
      <c r="G3" s="53" t="s">
        <v>77</v>
      </c>
      <c r="H3" s="53" t="s">
        <v>78</v>
      </c>
      <c r="I3" s="53" t="s">
        <v>79</v>
      </c>
      <c r="K3" s="31" t="s">
        <v>35</v>
      </c>
      <c r="L3" s="47" t="s">
        <v>80</v>
      </c>
    </row>
    <row r="4" spans="3:12">
      <c r="C4" s="55">
        <v>13</v>
      </c>
      <c r="D4" s="55" t="s">
        <v>81</v>
      </c>
      <c r="E4" s="55" t="s">
        <v>82</v>
      </c>
      <c r="F4" s="56">
        <v>38000</v>
      </c>
      <c r="G4" s="55">
        <v>11</v>
      </c>
      <c r="H4" s="56">
        <f>(Table2[[#This Row],[Salary ($)]]*12)</f>
        <v>456000</v>
      </c>
      <c r="I4" s="56">
        <f>0.1*Table2[[#This Row],[Annual Salary]]</f>
        <v>45600</v>
      </c>
      <c r="K4" s="59" t="s">
        <v>83</v>
      </c>
      <c r="L4" s="60">
        <v>1</v>
      </c>
    </row>
    <row r="5" spans="3:12">
      <c r="C5" s="55">
        <v>5</v>
      </c>
      <c r="D5" s="55" t="s">
        <v>84</v>
      </c>
      <c r="E5" s="55" t="s">
        <v>85</v>
      </c>
      <c r="F5" s="56">
        <v>34000</v>
      </c>
      <c r="G5" s="55">
        <v>7</v>
      </c>
      <c r="H5" s="56">
        <f>(Table2[[#This Row],[Salary ($)]]*12)</f>
        <v>408000</v>
      </c>
      <c r="I5" s="56">
        <f>0.1*Table2[[#This Row],[Annual Salary]]</f>
        <v>40800</v>
      </c>
      <c r="K5" s="59" t="s">
        <v>44</v>
      </c>
      <c r="L5" s="60">
        <v>3</v>
      </c>
    </row>
    <row r="6" spans="3:12">
      <c r="C6" s="55">
        <v>9</v>
      </c>
      <c r="D6" s="55" t="s">
        <v>86</v>
      </c>
      <c r="E6" s="55" t="s">
        <v>87</v>
      </c>
      <c r="F6" s="56">
        <v>30000</v>
      </c>
      <c r="G6" s="55">
        <v>8</v>
      </c>
      <c r="H6" s="56">
        <f>(Table2[[#This Row],[Salary ($)]]*12)</f>
        <v>360000</v>
      </c>
      <c r="I6" s="56">
        <f>0.1*Table2[[#This Row],[Annual Salary]]</f>
        <v>36000</v>
      </c>
      <c r="K6" s="59" t="s">
        <v>87</v>
      </c>
      <c r="L6" s="60">
        <v>4</v>
      </c>
    </row>
    <row r="7" spans="3:12">
      <c r="C7" s="55">
        <v>10</v>
      </c>
      <c r="D7" s="55" t="s">
        <v>88</v>
      </c>
      <c r="E7" s="55" t="s">
        <v>87</v>
      </c>
      <c r="F7" s="56">
        <v>30000</v>
      </c>
      <c r="G7" s="55">
        <v>6</v>
      </c>
      <c r="H7" s="56">
        <f>(Table2[[#This Row],[Salary ($)]]*12)</f>
        <v>360000</v>
      </c>
      <c r="I7" s="56">
        <f>0.1*Table2[[#This Row],[Annual Salary]]</f>
        <v>36000</v>
      </c>
      <c r="K7" s="59" t="s">
        <v>89</v>
      </c>
      <c r="L7" s="60">
        <v>2</v>
      </c>
    </row>
    <row r="8" spans="3:12">
      <c r="C8" s="55">
        <v>12</v>
      </c>
      <c r="D8" s="55" t="s">
        <v>90</v>
      </c>
      <c r="E8" s="55" t="s">
        <v>44</v>
      </c>
      <c r="F8" s="56">
        <v>27000</v>
      </c>
      <c r="G8" s="55">
        <v>9</v>
      </c>
      <c r="H8" s="56">
        <f>(Table2[[#This Row],[Salary ($)]]*12)</f>
        <v>324000</v>
      </c>
      <c r="I8" s="56">
        <f>0.1*Table2[[#This Row],[Annual Salary]]</f>
        <v>32400</v>
      </c>
      <c r="K8" s="59" t="s">
        <v>82</v>
      </c>
      <c r="L8" s="60">
        <v>2</v>
      </c>
    </row>
    <row r="9" spans="3:12">
      <c r="C9" s="55">
        <v>4</v>
      </c>
      <c r="D9" s="55" t="s">
        <v>91</v>
      </c>
      <c r="E9" s="55" t="s">
        <v>89</v>
      </c>
      <c r="F9" s="56">
        <v>25000</v>
      </c>
      <c r="G9" s="55">
        <v>6</v>
      </c>
      <c r="H9" s="56">
        <f>(Table2[[#This Row],[Salary ($)]]*12)</f>
        <v>300000</v>
      </c>
      <c r="I9" s="56">
        <f>0.1*Table2[[#This Row],[Annual Salary]]</f>
        <v>30000</v>
      </c>
      <c r="K9" s="59" t="s">
        <v>85</v>
      </c>
      <c r="L9" s="60">
        <v>3</v>
      </c>
    </row>
    <row r="10" ht="15.75" spans="3:12">
      <c r="C10" s="55">
        <v>8</v>
      </c>
      <c r="D10" s="55" t="s">
        <v>92</v>
      </c>
      <c r="E10" s="55" t="s">
        <v>89</v>
      </c>
      <c r="F10" s="56">
        <v>25000</v>
      </c>
      <c r="G10" s="55">
        <v>6</v>
      </c>
      <c r="H10" s="56">
        <f>(Table2[[#This Row],[Salary ($)]]*12)</f>
        <v>300000</v>
      </c>
      <c r="I10" s="56">
        <f>0.1*Table2[[#This Row],[Annual Salary]]</f>
        <v>30000</v>
      </c>
      <c r="K10" s="41" t="s">
        <v>93</v>
      </c>
      <c r="L10" s="61">
        <v>15</v>
      </c>
    </row>
    <row r="11" spans="3:9">
      <c r="C11" s="55">
        <v>11</v>
      </c>
      <c r="D11" s="55" t="s">
        <v>94</v>
      </c>
      <c r="E11" s="55" t="s">
        <v>87</v>
      </c>
      <c r="F11" s="56">
        <v>18000</v>
      </c>
      <c r="G11" s="55">
        <v>8</v>
      </c>
      <c r="H11" s="56">
        <f>(Table2[[#This Row],[Salary ($)]]*12)</f>
        <v>216000</v>
      </c>
      <c r="I11" s="56">
        <f>0.1*Table2[[#This Row],[Annual Salary]]</f>
        <v>21600</v>
      </c>
    </row>
    <row r="12" spans="3:9">
      <c r="C12" s="55">
        <v>7</v>
      </c>
      <c r="D12" s="55" t="s">
        <v>95</v>
      </c>
      <c r="E12" s="55" t="s">
        <v>83</v>
      </c>
      <c r="F12" s="56">
        <v>15000</v>
      </c>
      <c r="G12" s="55">
        <v>4</v>
      </c>
      <c r="H12" s="56">
        <f>(Table2[[#This Row],[Salary ($)]]*12)</f>
        <v>180000</v>
      </c>
      <c r="I12" s="56">
        <f>0.1*Table2[[#This Row],[Annual Salary]]</f>
        <v>18000</v>
      </c>
    </row>
    <row r="13" spans="3:9">
      <c r="C13" s="55">
        <v>14</v>
      </c>
      <c r="D13" s="55" t="s">
        <v>96</v>
      </c>
      <c r="E13" s="55" t="s">
        <v>82</v>
      </c>
      <c r="F13" s="56">
        <v>11000</v>
      </c>
      <c r="G13" s="55">
        <v>23</v>
      </c>
      <c r="H13" s="56">
        <f>(Table2[[#This Row],[Salary ($)]]*12)</f>
        <v>132000</v>
      </c>
      <c r="I13" s="56">
        <f>0.1*Table2[[#This Row],[Annual Salary]]</f>
        <v>13200</v>
      </c>
    </row>
    <row r="14" spans="3:9">
      <c r="C14" s="55">
        <v>15</v>
      </c>
      <c r="D14" s="55" t="s">
        <v>97</v>
      </c>
      <c r="E14" s="55" t="s">
        <v>44</v>
      </c>
      <c r="F14" s="56">
        <v>10400</v>
      </c>
      <c r="G14" s="55">
        <v>14</v>
      </c>
      <c r="H14" s="56">
        <f>(Table2[[#This Row],[Salary ($)]]*12)</f>
        <v>124800</v>
      </c>
      <c r="I14" s="56">
        <f>0.1*Table2[[#This Row],[Annual Salary]]</f>
        <v>12480</v>
      </c>
    </row>
    <row r="15" spans="3:9">
      <c r="C15" s="55">
        <v>1</v>
      </c>
      <c r="D15" s="55" t="s">
        <v>98</v>
      </c>
      <c r="E15" s="55" t="s">
        <v>85</v>
      </c>
      <c r="F15" s="56">
        <v>5000</v>
      </c>
      <c r="G15" s="55">
        <v>2</v>
      </c>
      <c r="H15" s="56">
        <f>(Table2[[#This Row],[Salary ($)]]*12)</f>
        <v>60000</v>
      </c>
      <c r="I15" s="56">
        <f>0.1*Table2[[#This Row],[Annual Salary]]</f>
        <v>6000</v>
      </c>
    </row>
    <row r="16" spans="3:9">
      <c r="C16" s="55">
        <v>6</v>
      </c>
      <c r="D16" s="55" t="s">
        <v>99</v>
      </c>
      <c r="E16" s="55" t="s">
        <v>85</v>
      </c>
      <c r="F16" s="56">
        <v>4800</v>
      </c>
      <c r="G16" s="55">
        <v>2</v>
      </c>
      <c r="H16" s="56">
        <f>(Table2[[#This Row],[Salary ($)]]*12)</f>
        <v>57600</v>
      </c>
      <c r="I16" s="56">
        <f>0.1*Table2[[#This Row],[Annual Salary]]</f>
        <v>5760</v>
      </c>
    </row>
    <row r="17" spans="3:9">
      <c r="C17" s="55">
        <v>2</v>
      </c>
      <c r="D17" s="55" t="s">
        <v>100</v>
      </c>
      <c r="E17" s="55" t="s">
        <v>44</v>
      </c>
      <c r="F17" s="56">
        <v>4500</v>
      </c>
      <c r="G17" s="55">
        <v>3</v>
      </c>
      <c r="H17" s="56">
        <f>(Table2[[#This Row],[Salary ($)]]*12)</f>
        <v>54000</v>
      </c>
      <c r="I17" s="56">
        <f>0.1*Table2[[#This Row],[Annual Salary]]</f>
        <v>5400</v>
      </c>
    </row>
    <row r="18" spans="3:9">
      <c r="C18" s="55">
        <v>3</v>
      </c>
      <c r="D18" s="55" t="s">
        <v>101</v>
      </c>
      <c r="E18" s="55" t="s">
        <v>87</v>
      </c>
      <c r="F18" s="56">
        <v>4000</v>
      </c>
      <c r="G18" s="55">
        <v>1</v>
      </c>
      <c r="H18" s="56">
        <f>(Table2[[#This Row],[Salary ($)]]*12)</f>
        <v>48000</v>
      </c>
      <c r="I18" s="56">
        <f>0.1*Table2[[#This Row],[Annual Salary]]</f>
        <v>4800</v>
      </c>
    </row>
    <row r="20" spans="4:5">
      <c r="D20" s="42" t="s">
        <v>102</v>
      </c>
      <c r="E20" s="57">
        <f>SUM(F4:F18)</f>
        <v>281700</v>
      </c>
    </row>
    <row r="21" spans="4:5">
      <c r="D21" s="42" t="s">
        <v>60</v>
      </c>
      <c r="E21" s="57">
        <f>AVERAGE(F4:F18)</f>
        <v>18780</v>
      </c>
    </row>
    <row r="22" spans="4:5">
      <c r="D22" s="42" t="s">
        <v>103</v>
      </c>
      <c r="E22" s="57">
        <f>MAX(F4:F18)</f>
        <v>38000</v>
      </c>
    </row>
    <row r="23" spans="4:5">
      <c r="D23" s="42" t="s">
        <v>104</v>
      </c>
      <c r="E23" s="57">
        <f>MIN(F4:F18)</f>
        <v>4000</v>
      </c>
    </row>
    <row r="24" spans="4:5">
      <c r="D24" s="43" t="s">
        <v>105</v>
      </c>
      <c r="E24" s="58">
        <f>COUNT(C4:C18)</f>
        <v>15</v>
      </c>
    </row>
  </sheetData>
  <mergeCells count="1">
    <mergeCell ref="C2:I2"/>
  </mergeCells>
  <pageMargins left="0.7" right="0.7" top="0.75" bottom="0.75" header="0.511811023622047" footer="0.511811023622047"/>
  <pageSetup paperSize="1" orientation="portrait" horizontalDpi="300" verticalDpi="300"/>
  <headerFooter/>
  <tableParts count="2"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8"/>
  <sheetViews>
    <sheetView workbookViewId="0">
      <selection activeCell="H4" sqref="H4"/>
    </sheetView>
  </sheetViews>
  <sheetFormatPr defaultColWidth="8.75" defaultRowHeight="14.25"/>
  <cols>
    <col min="3" max="3" width="12.5666666666667" customWidth="1"/>
    <col min="4" max="4" width="15.7083333333333" customWidth="1"/>
    <col min="5" max="5" width="11.2916666666667" customWidth="1"/>
    <col min="6" max="6" width="11.1416666666667" customWidth="1"/>
    <col min="8" max="8" width="11.2916666666667" customWidth="1"/>
    <col min="9" max="9" width="20.1416666666667" customWidth="1"/>
  </cols>
  <sheetData>
    <row r="1" spans="1:1">
      <c r="A1" t="s">
        <v>106</v>
      </c>
    </row>
    <row r="3" ht="15"/>
    <row r="4" ht="15" spans="3:9">
      <c r="C4" s="27" t="s">
        <v>107</v>
      </c>
      <c r="D4" s="28" t="s">
        <v>108</v>
      </c>
      <c r="E4" s="29" t="s">
        <v>109</v>
      </c>
      <c r="F4" s="30" t="s">
        <v>110</v>
      </c>
      <c r="H4" s="31" t="s">
        <v>107</v>
      </c>
      <c r="I4" s="47" t="s">
        <v>111</v>
      </c>
    </row>
    <row r="5" spans="3:9">
      <c r="C5" s="32" t="s">
        <v>112</v>
      </c>
      <c r="D5" s="33">
        <v>40</v>
      </c>
      <c r="E5" s="34">
        <v>75</v>
      </c>
      <c r="F5" s="35">
        <f>PRODUCT(Table6[[#This Row],[Units Sold]:[Unit Price]])</f>
        <v>3000</v>
      </c>
      <c r="H5" s="36" t="s">
        <v>113</v>
      </c>
      <c r="I5" s="48">
        <v>52500</v>
      </c>
    </row>
    <row r="6" spans="3:9">
      <c r="C6" s="32" t="s">
        <v>114</v>
      </c>
      <c r="D6" s="33">
        <v>25</v>
      </c>
      <c r="E6" s="34">
        <v>180</v>
      </c>
      <c r="F6" s="35">
        <f>PRODUCT(Table6[[#This Row],[Units Sold]:[Unit Price]])</f>
        <v>4500</v>
      </c>
      <c r="H6" s="37" t="s">
        <v>115</v>
      </c>
      <c r="I6" s="49">
        <v>11400</v>
      </c>
    </row>
    <row r="7" spans="3:9">
      <c r="C7" s="32" t="s">
        <v>116</v>
      </c>
      <c r="D7" s="33">
        <v>8</v>
      </c>
      <c r="E7" s="34">
        <v>1200</v>
      </c>
      <c r="F7" s="35">
        <f>PRODUCT(Table6[[#This Row],[Units Sold]:[Unit Price]])</f>
        <v>9600</v>
      </c>
      <c r="H7" s="37" t="s">
        <v>116</v>
      </c>
      <c r="I7" s="49">
        <v>9600</v>
      </c>
    </row>
    <row r="8" spans="3:9">
      <c r="C8" s="32" t="s">
        <v>115</v>
      </c>
      <c r="D8" s="33">
        <v>12</v>
      </c>
      <c r="E8" s="34">
        <v>950</v>
      </c>
      <c r="F8" s="35">
        <f>PRODUCT(Table6[[#This Row],[Units Sold]:[Unit Price]])</f>
        <v>11400</v>
      </c>
      <c r="H8" s="37" t="s">
        <v>114</v>
      </c>
      <c r="I8" s="49">
        <v>4500</v>
      </c>
    </row>
    <row r="9" spans="3:9">
      <c r="C9" s="38" t="s">
        <v>113</v>
      </c>
      <c r="D9" s="39">
        <v>15</v>
      </c>
      <c r="E9" s="40">
        <v>3500</v>
      </c>
      <c r="F9" s="35">
        <f>PRODUCT(Table6[[#This Row],[Units Sold]:[Unit Price]])</f>
        <v>52500</v>
      </c>
      <c r="H9" s="37" t="s">
        <v>112</v>
      </c>
      <c r="I9" s="50">
        <v>3000</v>
      </c>
    </row>
    <row r="10" ht="15.75" spans="8:9">
      <c r="H10" s="41" t="s">
        <v>93</v>
      </c>
      <c r="I10" s="51">
        <v>81000</v>
      </c>
    </row>
    <row r="12" spans="4:5">
      <c r="D12" s="42" t="s">
        <v>117</v>
      </c>
      <c r="E12" s="35">
        <f>SUM(Table6[Revenue])</f>
        <v>81000</v>
      </c>
    </row>
    <row r="13" spans="4:5">
      <c r="D13" s="42" t="s">
        <v>118</v>
      </c>
      <c r="E13" s="35">
        <f>AVERAGE(Table6[Revenue])</f>
        <v>16200</v>
      </c>
    </row>
    <row r="14" spans="4:5">
      <c r="D14" s="42" t="s">
        <v>119</v>
      </c>
      <c r="E14" s="35">
        <f>MAX(Table6[Revenue])</f>
        <v>52500</v>
      </c>
    </row>
    <row r="15" spans="4:5">
      <c r="D15" s="43" t="s">
        <v>120</v>
      </c>
      <c r="E15" s="44">
        <f>MIN(Table6[Revenue])</f>
        <v>3000</v>
      </c>
    </row>
    <row r="17" spans="4:6">
      <c r="D17" s="45" t="s">
        <v>121</v>
      </c>
      <c r="E17" s="45"/>
      <c r="F17" s="45"/>
    </row>
    <row r="18" ht="15" spans="4:6">
      <c r="D18" s="46" t="s">
        <v>122</v>
      </c>
      <c r="E18" s="46"/>
      <c r="F18" s="46"/>
    </row>
  </sheetData>
  <mergeCells count="2">
    <mergeCell ref="D17:F17"/>
    <mergeCell ref="D18:F18"/>
  </mergeCells>
  <pageMargins left="0.7" right="0.7" top="0.75" bottom="0.75" header="0.511811023622047" footer="0.511811023622047"/>
  <pageSetup paperSize="1" orientation="portrait" horizontalDpi="300" verticalDpi="300"/>
  <headerFooter/>
  <tableParts count="2">
    <tablePart r:id="rId2"/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2:S3"/>
  <sheetViews>
    <sheetView zoomScale="95" zoomScaleNormal="95" topLeftCell="A21" workbookViewId="0">
      <selection activeCell="V34" sqref="V34"/>
    </sheetView>
  </sheetViews>
  <sheetFormatPr defaultColWidth="8.75" defaultRowHeight="14.25" outlineLevelRow="2"/>
  <cols>
    <col min="11" max="11" width="2.43333333333333" customWidth="1"/>
  </cols>
  <sheetData>
    <row r="2" spans="3:19">
      <c r="C2" s="26" t="s">
        <v>123</v>
      </c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</row>
    <row r="3" spans="3:19"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</row>
  </sheetData>
  <mergeCells count="1">
    <mergeCell ref="C2:S3"/>
  </mergeCells>
  <pageMargins left="0.7" right="0.7" top="0.75" bottom="0.75" header="0.511811023622047" footer="0.511811023622047"/>
  <pageSetup paperSize="1" orientation="portrait" horizontalDpi="300" verticalDpi="300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4:P44"/>
  <sheetViews>
    <sheetView showGridLines="0" topLeftCell="G4" workbookViewId="0">
      <selection activeCell="O21" sqref="O21"/>
    </sheetView>
  </sheetViews>
  <sheetFormatPr defaultColWidth="12.8083333333333" defaultRowHeight="14.25"/>
  <cols>
    <col min="9" max="9" width="9.375" customWidth="1"/>
    <col min="10" max="10" width="6.375" customWidth="1"/>
    <col min="11" max="11" width="14.75"/>
    <col min="12" max="12" width="21.25" customWidth="1"/>
    <col min="13" max="13" width="16.375" customWidth="1"/>
    <col min="15" max="15" width="28.25" customWidth="1"/>
    <col min="16" max="16" width="17.875"/>
  </cols>
  <sheetData>
    <row r="4" ht="15" spans="3:16">
      <c r="C4" s="19" t="s">
        <v>124</v>
      </c>
      <c r="D4" s="19" t="s">
        <v>125</v>
      </c>
      <c r="E4" s="19" t="s">
        <v>126</v>
      </c>
      <c r="F4" s="19" t="s">
        <v>107</v>
      </c>
      <c r="G4" s="19" t="s">
        <v>108</v>
      </c>
      <c r="H4" s="19" t="s">
        <v>109</v>
      </c>
      <c r="I4" s="20" t="s">
        <v>127</v>
      </c>
      <c r="K4" t="s">
        <v>107</v>
      </c>
      <c r="L4" t="s">
        <v>128</v>
      </c>
      <c r="O4" t="s">
        <v>107</v>
      </c>
      <c r="P4" t="s">
        <v>129</v>
      </c>
    </row>
    <row r="5" spans="3:16">
      <c r="C5" s="20" t="s">
        <v>130</v>
      </c>
      <c r="D5" s="20" t="s">
        <v>17</v>
      </c>
      <c r="E5" s="20" t="s">
        <v>131</v>
      </c>
      <c r="F5" s="20" t="s">
        <v>113</v>
      </c>
      <c r="G5" s="20">
        <v>6</v>
      </c>
      <c r="H5" s="21">
        <v>1050</v>
      </c>
      <c r="I5" s="22">
        <f t="shared" ref="I5:I19" si="0">G5*H5</f>
        <v>6300</v>
      </c>
      <c r="K5" t="s">
        <v>113</v>
      </c>
      <c r="L5" s="23">
        <v>4725</v>
      </c>
      <c r="O5" t="s">
        <v>112</v>
      </c>
      <c r="P5">
        <v>105</v>
      </c>
    </row>
    <row r="6" spans="3:16">
      <c r="C6" s="20" t="s">
        <v>132</v>
      </c>
      <c r="D6" s="20" t="s">
        <v>12</v>
      </c>
      <c r="E6" s="20" t="s">
        <v>133</v>
      </c>
      <c r="F6" s="20" t="s">
        <v>113</v>
      </c>
      <c r="G6" s="20">
        <v>5</v>
      </c>
      <c r="H6" s="21">
        <v>1050</v>
      </c>
      <c r="I6" s="22">
        <f t="shared" si="0"/>
        <v>5250</v>
      </c>
      <c r="K6" t="s">
        <v>115</v>
      </c>
      <c r="L6" s="23">
        <v>2200</v>
      </c>
      <c r="O6" t="s">
        <v>114</v>
      </c>
      <c r="P6">
        <v>60</v>
      </c>
    </row>
    <row r="7" spans="3:16">
      <c r="C7" s="20" t="s">
        <v>134</v>
      </c>
      <c r="D7" s="20" t="s">
        <v>21</v>
      </c>
      <c r="E7" s="20" t="s">
        <v>133</v>
      </c>
      <c r="F7" s="20" t="s">
        <v>113</v>
      </c>
      <c r="G7" s="20">
        <v>4</v>
      </c>
      <c r="H7" s="21">
        <v>1050</v>
      </c>
      <c r="I7" s="22">
        <f t="shared" si="0"/>
        <v>4200</v>
      </c>
      <c r="K7" t="s">
        <v>116</v>
      </c>
      <c r="L7" s="23">
        <v>990</v>
      </c>
      <c r="O7" t="s">
        <v>115</v>
      </c>
      <c r="P7">
        <v>30</v>
      </c>
    </row>
    <row r="8" spans="3:16">
      <c r="C8" s="20" t="s">
        <v>135</v>
      </c>
      <c r="D8" s="20" t="s">
        <v>25</v>
      </c>
      <c r="E8" s="20" t="s">
        <v>136</v>
      </c>
      <c r="F8" s="20" t="s">
        <v>113</v>
      </c>
      <c r="G8" s="20">
        <v>3</v>
      </c>
      <c r="H8" s="21">
        <v>1050</v>
      </c>
      <c r="I8" s="22">
        <f t="shared" si="0"/>
        <v>3150</v>
      </c>
      <c r="K8" t="s">
        <v>114</v>
      </c>
      <c r="L8" s="23">
        <v>900</v>
      </c>
      <c r="O8" t="s">
        <v>113</v>
      </c>
      <c r="P8">
        <v>18</v>
      </c>
    </row>
    <row r="9" spans="3:16">
      <c r="C9" s="20" t="s">
        <v>137</v>
      </c>
      <c r="D9" s="20" t="s">
        <v>17</v>
      </c>
      <c r="E9" s="20" t="s">
        <v>131</v>
      </c>
      <c r="F9" s="20" t="s">
        <v>115</v>
      </c>
      <c r="G9" s="20">
        <v>12</v>
      </c>
      <c r="H9" s="21">
        <v>220</v>
      </c>
      <c r="I9" s="22">
        <f t="shared" si="0"/>
        <v>2640</v>
      </c>
      <c r="K9" t="s">
        <v>112</v>
      </c>
      <c r="L9" s="23">
        <v>875</v>
      </c>
      <c r="O9" t="s">
        <v>116</v>
      </c>
      <c r="P9">
        <v>11</v>
      </c>
    </row>
    <row r="10" spans="3:16">
      <c r="C10" s="20" t="s">
        <v>138</v>
      </c>
      <c r="D10" s="20" t="s">
        <v>26</v>
      </c>
      <c r="E10" s="20" t="s">
        <v>133</v>
      </c>
      <c r="F10" s="20" t="s">
        <v>115</v>
      </c>
      <c r="G10" s="20">
        <v>10</v>
      </c>
      <c r="H10" s="21">
        <v>220</v>
      </c>
      <c r="I10" s="22">
        <f t="shared" si="0"/>
        <v>2200</v>
      </c>
      <c r="K10" t="s">
        <v>65</v>
      </c>
      <c r="L10" s="23">
        <v>2187</v>
      </c>
      <c r="O10" t="s">
        <v>65</v>
      </c>
      <c r="P10">
        <v>224</v>
      </c>
    </row>
    <row r="11" spans="3:9">
      <c r="C11" s="20" t="s">
        <v>139</v>
      </c>
      <c r="D11" s="20" t="s">
        <v>19</v>
      </c>
      <c r="E11" s="20" t="s">
        <v>136</v>
      </c>
      <c r="F11" s="20" t="s">
        <v>115</v>
      </c>
      <c r="G11" s="20">
        <v>8</v>
      </c>
      <c r="H11" s="21">
        <v>220</v>
      </c>
      <c r="I11" s="22">
        <f t="shared" si="0"/>
        <v>1760</v>
      </c>
    </row>
    <row r="12" spans="3:12">
      <c r="C12" s="20" t="s">
        <v>140</v>
      </c>
      <c r="D12" s="20" t="s">
        <v>23</v>
      </c>
      <c r="E12" s="20" t="s">
        <v>131</v>
      </c>
      <c r="F12" s="20" t="s">
        <v>116</v>
      </c>
      <c r="G12" s="20">
        <v>6</v>
      </c>
      <c r="H12" s="21">
        <v>180</v>
      </c>
      <c r="I12" s="22">
        <f t="shared" si="0"/>
        <v>1080</v>
      </c>
      <c r="K12" s="24" t="s">
        <v>126</v>
      </c>
      <c r="L12" s="24" t="s">
        <v>141</v>
      </c>
    </row>
    <row r="13" spans="3:16">
      <c r="C13" s="20" t="s">
        <v>142</v>
      </c>
      <c r="D13" s="20" t="s">
        <v>28</v>
      </c>
      <c r="E13" s="20" t="s">
        <v>143</v>
      </c>
      <c r="F13" s="20" t="s">
        <v>112</v>
      </c>
      <c r="G13" s="20">
        <v>40</v>
      </c>
      <c r="H13" s="21">
        <v>25</v>
      </c>
      <c r="I13" s="22">
        <f t="shared" si="0"/>
        <v>1000</v>
      </c>
      <c r="K13" s="24" t="s">
        <v>133</v>
      </c>
      <c r="L13" s="25">
        <v>3131.25</v>
      </c>
      <c r="O13" s="24" t="s">
        <v>144</v>
      </c>
      <c r="P13" s="25" cm="1">
        <f t="array" ref="P13">SUMPRODUCT($H$5:$H$19,$G$5:$G$19)/SUM($G$5:$G$19)</f>
        <v>146.450892857143</v>
      </c>
    </row>
    <row r="14" spans="3:16">
      <c r="C14" s="20" t="s">
        <v>145</v>
      </c>
      <c r="D14" s="20" t="s">
        <v>30</v>
      </c>
      <c r="E14" s="20" t="s">
        <v>131</v>
      </c>
      <c r="F14" s="20" t="s">
        <v>114</v>
      </c>
      <c r="G14" s="20">
        <v>22</v>
      </c>
      <c r="H14" s="21">
        <v>45</v>
      </c>
      <c r="I14" s="22">
        <f t="shared" si="0"/>
        <v>990</v>
      </c>
      <c r="K14" s="24" t="s">
        <v>131</v>
      </c>
      <c r="L14" s="25">
        <v>2752.5</v>
      </c>
      <c r="O14" s="24" t="s">
        <v>146</v>
      </c>
      <c r="P14" s="25">
        <f>AVERAGE($I$5:$I$19)</f>
        <v>2187</v>
      </c>
    </row>
    <row r="15" spans="3:12">
      <c r="C15" s="20" t="s">
        <v>147</v>
      </c>
      <c r="D15" s="20" t="s">
        <v>12</v>
      </c>
      <c r="E15" s="20" t="s">
        <v>143</v>
      </c>
      <c r="F15" s="20" t="s">
        <v>116</v>
      </c>
      <c r="G15" s="20">
        <v>5</v>
      </c>
      <c r="H15" s="21">
        <v>180</v>
      </c>
      <c r="I15" s="22">
        <f t="shared" si="0"/>
        <v>900</v>
      </c>
      <c r="K15" s="24" t="s">
        <v>136</v>
      </c>
      <c r="L15" s="25">
        <v>1906.66666666667</v>
      </c>
    </row>
    <row r="16" spans="3:12">
      <c r="C16" s="20" t="s">
        <v>148</v>
      </c>
      <c r="D16" s="20" t="s">
        <v>21</v>
      </c>
      <c r="E16" s="20" t="s">
        <v>143</v>
      </c>
      <c r="F16" s="20" t="s">
        <v>114</v>
      </c>
      <c r="G16" s="20">
        <v>20</v>
      </c>
      <c r="H16" s="21">
        <v>45</v>
      </c>
      <c r="I16" s="22">
        <f t="shared" si="0"/>
        <v>900</v>
      </c>
      <c r="K16" s="24" t="s">
        <v>143</v>
      </c>
      <c r="L16" s="25">
        <v>887.5</v>
      </c>
    </row>
    <row r="17" spans="3:12">
      <c r="C17" s="20" t="s">
        <v>149</v>
      </c>
      <c r="D17" s="20" t="s">
        <v>15</v>
      </c>
      <c r="E17" s="20" t="s">
        <v>133</v>
      </c>
      <c r="F17" s="20" t="s">
        <v>112</v>
      </c>
      <c r="G17" s="20">
        <v>35</v>
      </c>
      <c r="H17" s="21">
        <v>25</v>
      </c>
      <c r="I17" s="22">
        <f t="shared" si="0"/>
        <v>875</v>
      </c>
      <c r="K17" s="24" t="s">
        <v>65</v>
      </c>
      <c r="L17" s="25">
        <v>2187</v>
      </c>
    </row>
    <row r="18" spans="3:9">
      <c r="C18" s="20" t="s">
        <v>150</v>
      </c>
      <c r="D18" s="20" t="s">
        <v>19</v>
      </c>
      <c r="E18" s="20" t="s">
        <v>136</v>
      </c>
      <c r="F18" s="20" t="s">
        <v>114</v>
      </c>
      <c r="G18" s="20">
        <v>18</v>
      </c>
      <c r="H18" s="21">
        <v>45</v>
      </c>
      <c r="I18" s="22">
        <f t="shared" si="0"/>
        <v>810</v>
      </c>
    </row>
    <row r="19" spans="3:12">
      <c r="C19" s="20" t="s">
        <v>151</v>
      </c>
      <c r="D19" s="20" t="s">
        <v>15</v>
      </c>
      <c r="E19" s="20" t="s">
        <v>143</v>
      </c>
      <c r="F19" s="20" t="s">
        <v>112</v>
      </c>
      <c r="G19" s="20">
        <v>30</v>
      </c>
      <c r="H19" s="21">
        <v>25</v>
      </c>
      <c r="I19" s="22">
        <f t="shared" si="0"/>
        <v>750</v>
      </c>
      <c r="K19" s="24" t="s">
        <v>125</v>
      </c>
      <c r="L19" s="24" t="s">
        <v>152</v>
      </c>
    </row>
    <row r="20" spans="11:12">
      <c r="K20" s="24" t="s">
        <v>30</v>
      </c>
      <c r="L20" s="25">
        <v>990</v>
      </c>
    </row>
    <row r="21" spans="11:12">
      <c r="K21" s="24" t="s">
        <v>28</v>
      </c>
      <c r="L21" s="25">
        <v>1000</v>
      </c>
    </row>
    <row r="22" spans="11:12">
      <c r="K22" s="24" t="s">
        <v>23</v>
      </c>
      <c r="L22" s="25">
        <v>1080</v>
      </c>
    </row>
    <row r="23" spans="11:12">
      <c r="K23" s="24" t="s">
        <v>15</v>
      </c>
      <c r="L23" s="25">
        <v>1625</v>
      </c>
    </row>
    <row r="24" spans="11:12">
      <c r="K24" s="24" t="s">
        <v>26</v>
      </c>
      <c r="L24" s="25">
        <v>2200</v>
      </c>
    </row>
    <row r="25" spans="11:12">
      <c r="K25" s="24" t="s">
        <v>19</v>
      </c>
      <c r="L25" s="25">
        <v>2570</v>
      </c>
    </row>
    <row r="26" spans="11:12">
      <c r="K26" s="24" t="s">
        <v>25</v>
      </c>
      <c r="L26" s="25">
        <v>3150</v>
      </c>
    </row>
    <row r="27" spans="11:12">
      <c r="K27" s="24" t="s">
        <v>21</v>
      </c>
      <c r="L27" s="25">
        <v>5100</v>
      </c>
    </row>
    <row r="28" spans="11:12">
      <c r="K28" s="24" t="s">
        <v>12</v>
      </c>
      <c r="L28" s="25">
        <v>6150</v>
      </c>
    </row>
    <row r="29" spans="11:12">
      <c r="K29" s="24" t="s">
        <v>17</v>
      </c>
      <c r="L29" s="25">
        <v>8940</v>
      </c>
    </row>
    <row r="30" spans="11:12">
      <c r="K30" s="24" t="s">
        <v>65</v>
      </c>
      <c r="L30" s="25">
        <v>32805</v>
      </c>
    </row>
    <row r="32" spans="12:12">
      <c r="L32" t="s">
        <v>153</v>
      </c>
    </row>
    <row r="33" spans="11:13">
      <c r="K33" t="s">
        <v>125</v>
      </c>
      <c r="L33" t="s">
        <v>154</v>
      </c>
      <c r="M33" t="s">
        <v>155</v>
      </c>
    </row>
    <row r="34" spans="11:13">
      <c r="K34" t="s">
        <v>25</v>
      </c>
      <c r="L34">
        <v>3150</v>
      </c>
      <c r="M34">
        <v>3</v>
      </c>
    </row>
    <row r="35" spans="11:13">
      <c r="K35" t="s">
        <v>17</v>
      </c>
      <c r="L35">
        <v>8940</v>
      </c>
      <c r="M35">
        <v>18</v>
      </c>
    </row>
    <row r="36" spans="11:13">
      <c r="K36" t="s">
        <v>30</v>
      </c>
      <c r="L36">
        <v>990</v>
      </c>
      <c r="M36">
        <v>22</v>
      </c>
    </row>
    <row r="37" spans="11:13">
      <c r="K37" t="s">
        <v>23</v>
      </c>
      <c r="L37">
        <v>1080</v>
      </c>
      <c r="M37">
        <v>6</v>
      </c>
    </row>
    <row r="38" spans="11:13">
      <c r="K38" t="s">
        <v>21</v>
      </c>
      <c r="L38">
        <v>5100</v>
      </c>
      <c r="M38">
        <v>24</v>
      </c>
    </row>
    <row r="39" spans="11:13">
      <c r="K39" t="s">
        <v>12</v>
      </c>
      <c r="L39">
        <v>6150</v>
      </c>
      <c r="M39">
        <v>10</v>
      </c>
    </row>
    <row r="40" spans="11:13">
      <c r="K40" t="s">
        <v>15</v>
      </c>
      <c r="L40">
        <v>1625</v>
      </c>
      <c r="M40">
        <v>65</v>
      </c>
    </row>
    <row r="41" spans="11:13">
      <c r="K41" t="s">
        <v>28</v>
      </c>
      <c r="L41">
        <v>1000</v>
      </c>
      <c r="M41">
        <v>40</v>
      </c>
    </row>
    <row r="42" spans="11:13">
      <c r="K42" t="s">
        <v>26</v>
      </c>
      <c r="L42">
        <v>2200</v>
      </c>
      <c r="M42">
        <v>10</v>
      </c>
    </row>
    <row r="43" spans="11:13">
      <c r="K43" t="s">
        <v>19</v>
      </c>
      <c r="L43">
        <v>2570</v>
      </c>
      <c r="M43">
        <v>26</v>
      </c>
    </row>
    <row r="44" spans="11:13">
      <c r="K44" t="s">
        <v>65</v>
      </c>
      <c r="L44">
        <v>32805</v>
      </c>
      <c r="M44">
        <v>224</v>
      </c>
    </row>
  </sheetData>
  <mergeCells count="3">
    <mergeCell ref="C28:I28"/>
    <mergeCell ref="C29:I29"/>
    <mergeCell ref="C30:I30"/>
  </mergeCells>
  <pageMargins left="0.7875" right="0.7875" top="1.05277777777778" bottom="1.05277777777778" header="0.7875" footer="0.7875"/>
  <pageSetup paperSize="1"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  <tableParts count="1">
    <tablePart r:id="rId6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4:L23"/>
  <sheetViews>
    <sheetView showGridLines="0" workbookViewId="0">
      <selection activeCell="M4" sqref="M4"/>
    </sheetView>
  </sheetViews>
  <sheetFormatPr defaultColWidth="12.8083333333333" defaultRowHeight="14.25"/>
  <sheetData>
    <row r="4" spans="3:12">
      <c r="C4" s="16" t="s">
        <v>156</v>
      </c>
      <c r="D4" s="17"/>
      <c r="E4" s="17"/>
      <c r="F4" s="17"/>
      <c r="G4" s="17"/>
      <c r="H4" s="16" t="s">
        <v>157</v>
      </c>
      <c r="I4" s="17"/>
      <c r="J4" s="17"/>
      <c r="K4" s="17"/>
      <c r="L4" s="17"/>
    </row>
    <row r="5" spans="3:12">
      <c r="C5" s="17"/>
      <c r="D5" s="17"/>
      <c r="E5" s="17"/>
      <c r="F5" s="17"/>
      <c r="G5" s="17"/>
      <c r="H5" s="17"/>
      <c r="I5" s="17"/>
      <c r="J5" s="17"/>
      <c r="K5" s="17"/>
      <c r="L5" s="17"/>
    </row>
    <row r="22" spans="3:12">
      <c r="C22" s="18" t="s">
        <v>158</v>
      </c>
      <c r="D22" s="18"/>
      <c r="E22" s="18"/>
      <c r="F22" s="18"/>
      <c r="G22" s="18"/>
      <c r="H22" s="18" t="s">
        <v>159</v>
      </c>
      <c r="I22" s="18"/>
      <c r="J22" s="18"/>
      <c r="K22" s="18"/>
      <c r="L22" s="18"/>
    </row>
    <row r="23" spans="3:12">
      <c r="C23" s="18"/>
      <c r="D23" s="18"/>
      <c r="E23" s="18"/>
      <c r="F23" s="18"/>
      <c r="G23" s="18"/>
      <c r="H23" s="18"/>
      <c r="I23" s="18"/>
      <c r="J23" s="18"/>
      <c r="K23" s="18"/>
      <c r="L23" s="18"/>
    </row>
  </sheetData>
  <mergeCells count="4">
    <mergeCell ref="C4:G5"/>
    <mergeCell ref="H4:L5"/>
    <mergeCell ref="C22:G23"/>
    <mergeCell ref="H22:L23"/>
  </mergeCells>
  <pageMargins left="0.7875" right="0.7875" top="1.05277777777778" bottom="1.05277777777778" header="0.7875" footer="0.7875"/>
  <pageSetup paperSize="1"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D3:Q20"/>
  <sheetViews>
    <sheetView showGridLines="0" topLeftCell="C1" workbookViewId="0">
      <selection activeCell="N19" sqref="N19"/>
    </sheetView>
  </sheetViews>
  <sheetFormatPr defaultColWidth="9" defaultRowHeight="14.25"/>
  <cols>
    <col min="9" max="9" width="13.5" customWidth="1"/>
  </cols>
  <sheetData>
    <row r="3" ht="15" spans="4:4">
      <c r="D3" s="12" t="s">
        <v>160</v>
      </c>
    </row>
    <row r="4" spans="4:17">
      <c r="D4" s="13" t="s">
        <v>161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</row>
    <row r="5" spans="4:17">
      <c r="D5" s="13" t="s">
        <v>162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</row>
    <row r="6" spans="4:17">
      <c r="D6" s="13" t="s">
        <v>163</v>
      </c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</row>
    <row r="7" spans="4:17">
      <c r="D7" s="13" t="s">
        <v>164</v>
      </c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</row>
    <row r="8" spans="4:17">
      <c r="D8" s="13" t="s">
        <v>165</v>
      </c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</row>
    <row r="9" spans="4:17">
      <c r="D9" s="13" t="s">
        <v>166</v>
      </c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</row>
    <row r="10" spans="4:4">
      <c r="D10" t="s">
        <v>167</v>
      </c>
    </row>
    <row r="12" ht="15" spans="4:7">
      <c r="D12" s="12" t="s">
        <v>168</v>
      </c>
      <c r="E12" s="12"/>
      <c r="F12" s="12"/>
      <c r="G12" s="12"/>
    </row>
    <row r="13" spans="4:14">
      <c r="D13" t="s">
        <v>169</v>
      </c>
      <c r="I13" s="14"/>
      <c r="J13" s="14"/>
      <c r="K13" s="14"/>
      <c r="L13" s="15"/>
      <c r="M13" s="15"/>
      <c r="N13" s="15"/>
    </row>
    <row r="14" spans="4:14">
      <c r="D14" t="s">
        <v>170</v>
      </c>
      <c r="I14" s="14"/>
      <c r="J14" s="14"/>
      <c r="K14" s="14"/>
      <c r="L14" s="15"/>
      <c r="M14" s="15"/>
      <c r="N14" s="15"/>
    </row>
    <row r="15" spans="4:14">
      <c r="D15" t="s">
        <v>171</v>
      </c>
      <c r="I15" s="14"/>
      <c r="J15" s="14"/>
      <c r="K15" s="14"/>
      <c r="L15" s="15"/>
      <c r="M15" s="15"/>
      <c r="N15" s="15"/>
    </row>
    <row r="16" spans="4:14">
      <c r="D16" t="s">
        <v>172</v>
      </c>
      <c r="I16" s="14"/>
      <c r="J16" s="14"/>
      <c r="K16" s="14"/>
      <c r="L16" s="15"/>
      <c r="M16" s="15"/>
      <c r="N16" s="15"/>
    </row>
    <row r="17" spans="4:14">
      <c r="D17" t="s">
        <v>173</v>
      </c>
      <c r="I17" s="14"/>
      <c r="J17" s="14"/>
      <c r="K17" s="14"/>
      <c r="L17" s="15"/>
      <c r="M17" s="15"/>
      <c r="N17" s="15"/>
    </row>
    <row r="18" spans="4:14">
      <c r="D18" s="14"/>
      <c r="E18" s="14"/>
      <c r="F18" s="14"/>
      <c r="G18" s="14"/>
      <c r="H18" s="14"/>
      <c r="I18" s="14"/>
      <c r="J18" s="14"/>
      <c r="K18" s="14"/>
      <c r="L18" s="15"/>
      <c r="M18" s="15"/>
      <c r="N18" s="15"/>
    </row>
    <row r="19" spans="4:14"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</row>
    <row r="20" spans="4:14"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</row>
  </sheetData>
  <mergeCells count="11">
    <mergeCell ref="D3:G3"/>
    <mergeCell ref="D4:J4"/>
    <mergeCell ref="D5:J5"/>
    <mergeCell ref="D6:J6"/>
    <mergeCell ref="D8:J8"/>
    <mergeCell ref="D12:G12"/>
    <mergeCell ref="D13:H13"/>
    <mergeCell ref="D14:H14"/>
    <mergeCell ref="D15:H15"/>
    <mergeCell ref="D16:H16"/>
    <mergeCell ref="D17:H17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6:F19"/>
  <sheetViews>
    <sheetView workbookViewId="0">
      <selection activeCell="C19" sqref="C19:F19"/>
    </sheetView>
  </sheetViews>
  <sheetFormatPr defaultColWidth="9" defaultRowHeight="14.25" outlineLevelCol="5"/>
  <cols>
    <col min="5" max="5" width="15.125" customWidth="1"/>
  </cols>
  <sheetData>
    <row r="6" ht="15" spans="3:5">
      <c r="C6" s="2" t="s">
        <v>174</v>
      </c>
      <c r="D6" s="2" t="s">
        <v>175</v>
      </c>
      <c r="E6" s="10" t="s">
        <v>176</v>
      </c>
    </row>
    <row r="7" spans="3:5">
      <c r="C7" s="3" t="s">
        <v>12</v>
      </c>
      <c r="D7" s="3">
        <v>82</v>
      </c>
      <c r="E7" s="11" t="str">
        <f t="shared" ref="E7:E16" si="0">IF(D7&gt;=50,"Passed","Failed")</f>
        <v>Passed</v>
      </c>
    </row>
    <row r="8" spans="3:5">
      <c r="C8" s="3" t="s">
        <v>15</v>
      </c>
      <c r="D8" s="3">
        <v>45</v>
      </c>
      <c r="E8" s="11" t="str">
        <f t="shared" si="0"/>
        <v>Failed</v>
      </c>
    </row>
    <row r="9" spans="3:5">
      <c r="C9" s="3" t="s">
        <v>17</v>
      </c>
      <c r="D9" s="3">
        <v>67</v>
      </c>
      <c r="E9" s="11" t="str">
        <f t="shared" si="0"/>
        <v>Passed</v>
      </c>
    </row>
    <row r="10" spans="3:5">
      <c r="C10" s="3" t="s">
        <v>19</v>
      </c>
      <c r="D10" s="3">
        <v>90</v>
      </c>
      <c r="E10" s="11" t="str">
        <f t="shared" si="0"/>
        <v>Passed</v>
      </c>
    </row>
    <row r="11" spans="3:5">
      <c r="C11" s="3" t="s">
        <v>21</v>
      </c>
      <c r="D11" s="3">
        <v>38</v>
      </c>
      <c r="E11" s="11" t="str">
        <f t="shared" si="0"/>
        <v>Failed</v>
      </c>
    </row>
    <row r="12" spans="3:5">
      <c r="C12" s="3" t="s">
        <v>23</v>
      </c>
      <c r="D12" s="3">
        <v>74</v>
      </c>
      <c r="E12" s="11" t="str">
        <f t="shared" si="0"/>
        <v>Passed</v>
      </c>
    </row>
    <row r="13" spans="3:5">
      <c r="C13" s="3" t="s">
        <v>28</v>
      </c>
      <c r="D13" s="3">
        <v>51</v>
      </c>
      <c r="E13" s="11" t="str">
        <f t="shared" si="0"/>
        <v>Passed</v>
      </c>
    </row>
    <row r="14" spans="3:5">
      <c r="C14" s="3" t="s">
        <v>26</v>
      </c>
      <c r="D14" s="3">
        <v>49</v>
      </c>
      <c r="E14" s="11" t="str">
        <f t="shared" si="0"/>
        <v>Failed</v>
      </c>
    </row>
    <row r="15" spans="3:5">
      <c r="C15" s="3" t="s">
        <v>25</v>
      </c>
      <c r="D15" s="3">
        <v>88</v>
      </c>
      <c r="E15" s="11" t="str">
        <f t="shared" si="0"/>
        <v>Passed</v>
      </c>
    </row>
    <row r="16" spans="3:5">
      <c r="C16" s="3" t="s">
        <v>30</v>
      </c>
      <c r="D16" s="3">
        <v>59</v>
      </c>
      <c r="E16" s="11" t="str">
        <f t="shared" si="0"/>
        <v>Passed</v>
      </c>
    </row>
    <row r="19" spans="3:3">
      <c r="C19" t="s">
        <v>177</v>
      </c>
    </row>
  </sheetData>
  <mergeCells count="1">
    <mergeCell ref="C19:F19"/>
  </mergeCells>
  <pageMargins left="0.75" right="0.75" top="1" bottom="1" header="0.5" footer="0.5"/>
  <headerFooter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4:M17"/>
  <sheetViews>
    <sheetView workbookViewId="0">
      <selection activeCell="C17" sqref="C17:E17"/>
    </sheetView>
  </sheetViews>
  <sheetFormatPr defaultColWidth="9" defaultRowHeight="14.25"/>
  <cols>
    <col min="3" max="3" width="10" customWidth="1"/>
    <col min="5" max="5" width="20.625" customWidth="1"/>
    <col min="9" max="9" width="10" customWidth="1"/>
    <col min="12" max="12" width="16.25" customWidth="1"/>
    <col min="13" max="13" width="22.875" customWidth="1"/>
  </cols>
  <sheetData>
    <row r="4" ht="15" spans="3:13">
      <c r="C4" s="5" t="s">
        <v>57</v>
      </c>
      <c r="D4" s="2" t="s">
        <v>178</v>
      </c>
      <c r="E4" s="2" t="s">
        <v>179</v>
      </c>
      <c r="I4" s="5" t="s">
        <v>57</v>
      </c>
      <c r="J4" s="9" t="s">
        <v>178</v>
      </c>
      <c r="K4" s="9" t="s">
        <v>58</v>
      </c>
      <c r="L4" s="2" t="s">
        <v>180</v>
      </c>
      <c r="M4" s="2" t="s">
        <v>181</v>
      </c>
    </row>
    <row r="5" spans="3:13">
      <c r="C5" s="6" t="s">
        <v>12</v>
      </c>
      <c r="D5" s="7">
        <v>18000</v>
      </c>
      <c r="E5" s="8" t="str">
        <f>IF(D5&gt;=15000,"Yes","No")</f>
        <v>Yes</v>
      </c>
      <c r="I5" s="6" t="s">
        <v>12</v>
      </c>
      <c r="J5" s="7">
        <v>18000</v>
      </c>
      <c r="K5" s="7">
        <v>5</v>
      </c>
      <c r="L5" s="8" t="str">
        <f>IF(AND(J5&gt;=15000,K5&gt;=4),"Eligible","Not Eligible")</f>
        <v>Eligible</v>
      </c>
      <c r="M5" s="8" t="str">
        <f>IF(OR(J5&gt;=15000,K5=5),"Yes","No")</f>
        <v>Yes</v>
      </c>
    </row>
    <row r="6" spans="3:13">
      <c r="C6" s="6" t="s">
        <v>15</v>
      </c>
      <c r="D6" s="7">
        <v>9500</v>
      </c>
      <c r="E6" s="8" t="str">
        <f t="shared" ref="E6:E14" si="0">IF(D6&gt;=15000,"Yes","No")</f>
        <v>No</v>
      </c>
      <c r="I6" s="6" t="s">
        <v>15</v>
      </c>
      <c r="J6" s="7">
        <v>9500</v>
      </c>
      <c r="K6" s="7">
        <v>4</v>
      </c>
      <c r="L6" s="8" t="str">
        <f t="shared" ref="L6:L14" si="1">IF(AND(J6&gt;=15000,K6&gt;=4),"Eligible","Not Eligible")</f>
        <v>Not Eligible</v>
      </c>
      <c r="M6" s="8" t="str">
        <f t="shared" ref="M6:M14" si="2">IF(OR(J6&gt;=15000,K6=5),"Yes","No")</f>
        <v>No</v>
      </c>
    </row>
    <row r="7" spans="3:13">
      <c r="C7" s="6" t="s">
        <v>17</v>
      </c>
      <c r="D7" s="7">
        <v>21000</v>
      </c>
      <c r="E7" s="8" t="str">
        <f t="shared" si="0"/>
        <v>Yes</v>
      </c>
      <c r="I7" s="6" t="s">
        <v>17</v>
      </c>
      <c r="J7" s="7">
        <v>21000</v>
      </c>
      <c r="K7" s="7">
        <v>3</v>
      </c>
      <c r="L7" s="8" t="str">
        <f t="shared" si="1"/>
        <v>Not Eligible</v>
      </c>
      <c r="M7" s="8" t="str">
        <f t="shared" si="2"/>
        <v>Yes</v>
      </c>
    </row>
    <row r="8" spans="3:13">
      <c r="C8" s="6" t="s">
        <v>19</v>
      </c>
      <c r="D8" s="7">
        <v>14500</v>
      </c>
      <c r="E8" s="8" t="str">
        <f t="shared" si="0"/>
        <v>No</v>
      </c>
      <c r="I8" s="6" t="s">
        <v>19</v>
      </c>
      <c r="J8" s="7">
        <v>14500</v>
      </c>
      <c r="K8" s="7">
        <v>5</v>
      </c>
      <c r="L8" s="8" t="str">
        <f t="shared" si="1"/>
        <v>Not Eligible</v>
      </c>
      <c r="M8" s="8" t="str">
        <f t="shared" si="2"/>
        <v>Yes</v>
      </c>
    </row>
    <row r="9" spans="3:13">
      <c r="C9" s="6" t="s">
        <v>21</v>
      </c>
      <c r="D9" s="7">
        <v>8000</v>
      </c>
      <c r="E9" s="8" t="str">
        <f t="shared" si="0"/>
        <v>No</v>
      </c>
      <c r="I9" s="6" t="s">
        <v>21</v>
      </c>
      <c r="J9" s="7">
        <v>8000</v>
      </c>
      <c r="K9" s="7">
        <v>4</v>
      </c>
      <c r="L9" s="8" t="str">
        <f t="shared" si="1"/>
        <v>Not Eligible</v>
      </c>
      <c r="M9" s="8" t="str">
        <f t="shared" si="2"/>
        <v>No</v>
      </c>
    </row>
    <row r="10" spans="3:13">
      <c r="C10" s="6" t="s">
        <v>23</v>
      </c>
      <c r="D10" s="7">
        <v>25000</v>
      </c>
      <c r="E10" s="8" t="str">
        <f t="shared" si="0"/>
        <v>Yes</v>
      </c>
      <c r="I10" s="6" t="s">
        <v>23</v>
      </c>
      <c r="J10" s="7">
        <v>25000</v>
      </c>
      <c r="K10" s="7">
        <v>5</v>
      </c>
      <c r="L10" s="8" t="str">
        <f t="shared" si="1"/>
        <v>Eligible</v>
      </c>
      <c r="M10" s="8" t="str">
        <f t="shared" si="2"/>
        <v>Yes</v>
      </c>
    </row>
    <row r="11" spans="3:13">
      <c r="C11" s="6" t="s">
        <v>28</v>
      </c>
      <c r="D11" s="7">
        <v>11000</v>
      </c>
      <c r="E11" s="8" t="str">
        <f t="shared" si="0"/>
        <v>No</v>
      </c>
      <c r="I11" s="6" t="s">
        <v>28</v>
      </c>
      <c r="J11" s="7">
        <v>11000</v>
      </c>
      <c r="K11" s="7">
        <v>3</v>
      </c>
      <c r="L11" s="8" t="str">
        <f t="shared" si="1"/>
        <v>Not Eligible</v>
      </c>
      <c r="M11" s="8" t="str">
        <f t="shared" si="2"/>
        <v>No</v>
      </c>
    </row>
    <row r="12" spans="3:13">
      <c r="C12" s="6" t="s">
        <v>26</v>
      </c>
      <c r="D12" s="7">
        <v>19500</v>
      </c>
      <c r="E12" s="8" t="str">
        <f t="shared" si="0"/>
        <v>Yes</v>
      </c>
      <c r="I12" s="6" t="s">
        <v>26</v>
      </c>
      <c r="J12" s="7">
        <v>19500</v>
      </c>
      <c r="K12" s="7">
        <v>4</v>
      </c>
      <c r="L12" s="8" t="str">
        <f t="shared" si="1"/>
        <v>Eligible</v>
      </c>
      <c r="M12" s="8" t="str">
        <f t="shared" si="2"/>
        <v>Yes</v>
      </c>
    </row>
    <row r="13" spans="3:13">
      <c r="C13" s="6" t="s">
        <v>25</v>
      </c>
      <c r="D13" s="7">
        <v>7200</v>
      </c>
      <c r="E13" s="8" t="str">
        <f t="shared" si="0"/>
        <v>No</v>
      </c>
      <c r="I13" s="6" t="s">
        <v>25</v>
      </c>
      <c r="J13" s="7">
        <v>7200</v>
      </c>
      <c r="K13" s="7">
        <v>2</v>
      </c>
      <c r="L13" s="8" t="str">
        <f t="shared" si="1"/>
        <v>Not Eligible</v>
      </c>
      <c r="M13" s="8" t="str">
        <f t="shared" si="2"/>
        <v>No</v>
      </c>
    </row>
    <row r="14" spans="3:13">
      <c r="C14" s="6" t="s">
        <v>30</v>
      </c>
      <c r="D14" s="7">
        <v>17000</v>
      </c>
      <c r="E14" s="8" t="str">
        <f t="shared" si="0"/>
        <v>Yes</v>
      </c>
      <c r="I14" s="6" t="s">
        <v>30</v>
      </c>
      <c r="J14" s="7">
        <v>17000</v>
      </c>
      <c r="K14" s="7">
        <v>5</v>
      </c>
      <c r="L14" s="8" t="str">
        <f t="shared" si="1"/>
        <v>Eligible</v>
      </c>
      <c r="M14" s="8" t="str">
        <f t="shared" si="2"/>
        <v>Yes</v>
      </c>
    </row>
    <row r="16" spans="9:9">
      <c r="I16" t="s">
        <v>182</v>
      </c>
    </row>
    <row r="17" spans="3:3">
      <c r="C17" t="s">
        <v>183</v>
      </c>
    </row>
  </sheetData>
  <mergeCells count="2">
    <mergeCell ref="I16:M16"/>
    <mergeCell ref="C17:E17"/>
  </mergeCell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3:E18"/>
  <sheetViews>
    <sheetView tabSelected="1" topLeftCell="A4" workbookViewId="0">
      <selection activeCell="G26" sqref="G26"/>
    </sheetView>
  </sheetViews>
  <sheetFormatPr defaultColWidth="9" defaultRowHeight="14.25" outlineLevelCol="4"/>
  <sheetData>
    <row r="3" ht="15" spans="3:3">
      <c r="C3" s="1"/>
    </row>
    <row r="4" ht="15" spans="3:5">
      <c r="C4" s="2" t="s">
        <v>107</v>
      </c>
      <c r="D4" s="2" t="s">
        <v>110</v>
      </c>
      <c r="E4" s="2" t="s">
        <v>184</v>
      </c>
    </row>
    <row r="5" spans="3:5">
      <c r="C5" s="3" t="s">
        <v>113</v>
      </c>
      <c r="D5" s="3">
        <v>52000</v>
      </c>
      <c r="E5" s="3" t="str" cm="1">
        <f t="array" ref="E5">_xlfn.IFS(D5&gt;=20000,"High",AND(D5&gt;=10000,D5&lt;20000),"Medium",D5&lt;10000,"Low")</f>
        <v>High</v>
      </c>
    </row>
    <row r="6" spans="3:5">
      <c r="C6" s="3" t="s">
        <v>115</v>
      </c>
      <c r="D6" s="3">
        <v>18500</v>
      </c>
      <c r="E6" s="3" t="str" cm="1">
        <f t="array" ref="E6">_xlfn.IFS(D6&gt;=20000,"High",AND(D6&gt;=10000,D6&lt;20000),"Medium",D6&lt;10000,"Low")</f>
        <v>Medium</v>
      </c>
    </row>
    <row r="7" spans="3:5">
      <c r="C7" s="3" t="s">
        <v>116</v>
      </c>
      <c r="D7" s="3">
        <v>8200</v>
      </c>
      <c r="E7" s="3" t="str" cm="1">
        <f t="array" ref="E7">_xlfn.IFS(D7&gt;=20000,"High",AND(D7&gt;=10000,D7&lt;20000),"Medium",D7&lt;10000,"Low")</f>
        <v>Low</v>
      </c>
    </row>
    <row r="8" spans="3:5">
      <c r="C8" s="3" t="s">
        <v>114</v>
      </c>
      <c r="D8" s="3">
        <v>6100</v>
      </c>
      <c r="E8" s="3" t="str" cm="1">
        <f t="array" ref="E8">_xlfn.IFS(D8&gt;=20000,"High",AND(D8&gt;=10000,D8&lt;20000),"Medium",D8&lt;10000,"Low")</f>
        <v>Low</v>
      </c>
    </row>
    <row r="9" spans="3:5">
      <c r="C9" s="3" t="s">
        <v>112</v>
      </c>
      <c r="D9" s="3">
        <v>1750</v>
      </c>
      <c r="E9" s="3" t="str" cm="1">
        <f t="array" ref="E9">_xlfn.IFS(D9&gt;=20000,"High",AND(D9&gt;=10000,D9&lt;20000),"Medium",D9&lt;10000,"Low")</f>
        <v>Low</v>
      </c>
    </row>
    <row r="10" spans="3:5">
      <c r="C10" s="3" t="s">
        <v>185</v>
      </c>
      <c r="D10" s="3">
        <v>24500</v>
      </c>
      <c r="E10" s="3" t="str" cm="1">
        <f t="array" ref="E10">_xlfn.IFS(D10&gt;=20000,"High",AND(D10&gt;=10000,D10&lt;20000),"Medium",D10&lt;10000,"Low")</f>
        <v>High</v>
      </c>
    </row>
    <row r="11" spans="3:5">
      <c r="C11" s="3" t="s">
        <v>186</v>
      </c>
      <c r="D11" s="3">
        <v>9800</v>
      </c>
      <c r="E11" s="3" t="str" cm="1">
        <f t="array" ref="E11">_xlfn.IFS(D11&gt;=20000,"High",AND(D11&gt;=10000,D11&lt;20000),"Medium",D11&lt;10000,"Low")</f>
        <v>Low</v>
      </c>
    </row>
    <row r="12" spans="3:5">
      <c r="C12" s="3" t="s">
        <v>187</v>
      </c>
      <c r="D12" s="3">
        <v>4600</v>
      </c>
      <c r="E12" s="3" t="str" cm="1">
        <f t="array" ref="E12">_xlfn.IFS(D12&gt;=20000,"High",AND(D12&gt;=10000,D12&lt;20000),"Medium",D12&lt;10000,"Low")</f>
        <v>Low</v>
      </c>
    </row>
    <row r="13" spans="3:5">
      <c r="C13" s="3" t="s">
        <v>188</v>
      </c>
      <c r="D13" s="3">
        <v>13200</v>
      </c>
      <c r="E13" s="3" t="str" cm="1">
        <f t="array" ref="E13">_xlfn.IFS(D13&gt;=20000,"High",AND(D13&gt;=10000,D13&lt;20000),"Medium",D13&lt;10000,"Low")</f>
        <v>Medium</v>
      </c>
    </row>
    <row r="14" spans="3:5">
      <c r="C14" s="3" t="s">
        <v>189</v>
      </c>
      <c r="D14" s="3">
        <v>7400</v>
      </c>
      <c r="E14" s="3" t="str" cm="1">
        <f t="array" ref="E14">_xlfn.IFS(D14&gt;=20000,"High",AND(D14&gt;=10000,D14&lt;20000),"Medium",D14&lt;10000,"Low")</f>
        <v>Low</v>
      </c>
    </row>
    <row r="16" spans="3:5">
      <c r="C16" s="4" t="s">
        <v>190</v>
      </c>
      <c r="D16" s="4"/>
      <c r="E16" s="4"/>
    </row>
    <row r="17" spans="3:5">
      <c r="C17" s="4"/>
      <c r="D17" s="4"/>
      <c r="E17" s="4"/>
    </row>
    <row r="18" spans="3:5">
      <c r="C18" s="4"/>
      <c r="D18" s="4"/>
      <c r="E18" s="4"/>
    </row>
  </sheetData>
  <mergeCells count="1">
    <mergeCell ref="C16:E1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LibreOffice/26.2.5.2$Windows_X86_64 LibreOffice_project/cd7284b4cbbfeb507e630c1aac019f4157393acb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Student Performance</vt:lpstr>
      <vt:lpstr>Data Cleaning</vt:lpstr>
      <vt:lpstr>Employee Performance</vt:lpstr>
      <vt:lpstr>Employee Data</vt:lpstr>
      <vt:lpstr>Sales Analysis</vt:lpstr>
      <vt:lpstr>Dashboard</vt:lpstr>
      <vt:lpstr>Monthly Sales Data</vt:lpstr>
      <vt:lpstr>Management Dashboard</vt:lpstr>
      <vt:lpstr>Executive Summary</vt:lpstr>
      <vt:lpstr>IF Practice</vt:lpstr>
      <vt:lpstr>Employee Bonus</vt:lpstr>
      <vt:lpstr>Sales Categories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Peter</dc:creator>
  <cp:lastModifiedBy>Lenovo</cp:lastModifiedBy>
  <cp:revision>1</cp:revision>
  <dcterms:created xsi:type="dcterms:W3CDTF">2026-08-01T16:26:00Z</dcterms:created>
  <dcterms:modified xsi:type="dcterms:W3CDTF">2026-08-08T13:39:52Z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2057-12.2.0.23206</vt:lpwstr>
  </property>
  <property fmtid="{D5CDD505-2E9C-101B-9397-08002B2CF9AE}" pid="3" name="ICV">
    <vt:lpwstr>CF51F36060BC4CFF84EDF91C132A966A_13</vt:lpwstr>
  </property>
</Properties>
</file>