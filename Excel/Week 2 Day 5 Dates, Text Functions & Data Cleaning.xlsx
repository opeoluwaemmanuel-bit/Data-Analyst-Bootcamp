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6780" activeTab="5"/>
  </bookViews>
  <sheets>
    <sheet name="Data Cleaning" sheetId="3" r:id="rId1"/>
    <sheet name="Employee Code" sheetId="4" r:id="rId2"/>
    <sheet name="LEN() FUNCTION" sheetId="5" r:id="rId3"/>
    <sheet name="DATE FUNCTION" sheetId="7" r:id="rId4"/>
    <sheet name="EXERCISE" sheetId="8" r:id="rId5"/>
    <sheet name="DAY 5 MINI PROJECT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<sst xmlns="http://schemas.openxmlformats.org/spreadsheetml/2006/main" count="102" uniqueCount="80">
  <si>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Employee ID</t>
  </si>
  <si>
    <t>Raw Name</t>
  </si>
  <si>
    <t>Clean Name</t>
  </si>
  <si>
    <t>Upper</t>
  </si>
  <si>
    <t>Lower</t>
  </si>
  <si>
    <t>Proper</t>
  </si>
  <si>
    <t>E001</t>
  </si>
  <si>
    <t>john smith</t>
  </si>
  <si>
    <t>E002</t>
  </si>
  <si>
    <t>MARY JONES</t>
  </si>
  <si>
    <t>E003</t>
  </si>
  <si>
    <t>david brown</t>
  </si>
  <si>
    <t>E004</t>
  </si>
  <si>
    <t>SARAH WILLIAMS</t>
  </si>
  <si>
    <t>E005</t>
  </si>
  <si>
    <t>james taylor</t>
  </si>
  <si>
    <t>E006</t>
  </si>
  <si>
    <t>GRACE ANDERSON</t>
  </si>
  <si>
    <t>E007</t>
  </si>
  <si>
    <t>peter thomas</t>
  </si>
  <si>
    <t>E008</t>
  </si>
  <si>
    <t>RUTH JOHNSON</t>
  </si>
  <si>
    <t>Employee Code</t>
  </si>
  <si>
    <t>Employee Number</t>
  </si>
  <si>
    <t>Country Code</t>
  </si>
  <si>
    <t>Column1</t>
  </si>
  <si>
    <t>E001-QAT</t>
  </si>
  <si>
    <t>E002-NGA</t>
  </si>
  <si>
    <t>E003-UK</t>
  </si>
  <si>
    <t>E004-CAN</t>
  </si>
  <si>
    <t>E005-QAT</t>
  </si>
  <si>
    <t>E006-NGA</t>
  </si>
  <si>
    <t>E007-CAN</t>
  </si>
  <si>
    <t>E008-UK</t>
  </si>
  <si>
    <t>Product Code</t>
  </si>
  <si>
    <t>Code Lenght</t>
  </si>
  <si>
    <t>Valid Code</t>
  </si>
  <si>
    <t>P001</t>
  </si>
  <si>
    <t>P002</t>
  </si>
  <si>
    <t>P003</t>
  </si>
  <si>
    <t>P010</t>
  </si>
  <si>
    <t>P100</t>
  </si>
  <si>
    <t>Transaction</t>
  </si>
  <si>
    <t>Date</t>
  </si>
  <si>
    <t>Year</t>
  </si>
  <si>
    <t>Month</t>
  </si>
  <si>
    <t>Day</t>
  </si>
  <si>
    <t>T001</t>
  </si>
  <si>
    <t>T002</t>
  </si>
  <si>
    <t>T003</t>
  </si>
  <si>
    <t>T004</t>
  </si>
  <si>
    <t>T005</t>
  </si>
  <si>
    <t>T006</t>
  </si>
  <si>
    <t>T007</t>
  </si>
  <si>
    <t>T008</t>
  </si>
  <si>
    <t>e</t>
  </si>
  <si>
    <t>CUSTOMER ACCOUNT AGE</t>
  </si>
  <si>
    <t>Customer</t>
  </si>
  <si>
    <t>Registration Date</t>
  </si>
  <si>
    <t>Days Since Registration</t>
  </si>
  <si>
    <t>John</t>
  </si>
  <si>
    <t>Mary</t>
  </si>
  <si>
    <t>David</t>
  </si>
  <si>
    <t>Sarah</t>
  </si>
  <si>
    <t>James</t>
  </si>
  <si>
    <t>Grace</t>
  </si>
  <si>
    <t>Peter</t>
  </si>
  <si>
    <t>Ruth</t>
  </si>
  <si>
    <t>John has been registered the longest, for 580 days since registration</t>
  </si>
  <si>
    <t>DAY 5 MINI PROJECT</t>
  </si>
  <si>
    <t>Transaction ID</t>
  </si>
  <si>
    <t>Customer Name</t>
  </si>
  <si>
    <t>Transaction Date</t>
  </si>
  <si>
    <t>Clean Customer Name</t>
  </si>
  <si>
    <t>Customer Name length</t>
  </si>
  <si>
    <t>P004</t>
  </si>
  <si>
    <t>P005</t>
  </si>
  <si>
    <t>P006</t>
  </si>
  <si>
    <t>P007</t>
  </si>
  <si>
    <t>P008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</si>
</sst>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  <xf numFmtId="0" fontId="4" fillId="0" borderId="0" xfId="0" applyFont="1" applyAlignment="1">
      <alignment horizontal="left" vertical="center" wrapText="1"/>
    </xf>
    <xf numFmtId="58" fontId="0" fillId="0" borderId="0" xfId="0" applyNumberForma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alignment horizontal="center" wrapText="1"/>
    </dxf>
    <dxf>
      <alignment horizontal="left" wrapText="1"/>
    </dxf>
    <dxf>
      <numFmt numFmtId="0" formatCode="General"/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C5:H13" totalsRowShown="0">
  <tableColumns count="6">
    <tableColumn id="1" name="Employee ID" dataDxfId="0"/>
    <tableColumn id="2" name="Raw Name" dataDxfId="1"/>
    <tableColumn id="3" name="Clean Name" dataDxfId="2">
      <calculatedColumnFormula>TRIM(D6)</calculatedColumnFormula>
    </tableColumn>
    <tableColumn id="4" name="Upper" dataDxfId="3">
      <calculatedColumnFormula>UPPER(E6)</calculatedColumnFormula>
    </tableColumn>
    <tableColumn id="5" name="Lower" dataDxfId="4">
      <calculatedColumnFormula>LOWER(F6)</calculatedColumnFormula>
    </tableColumn>
    <tableColumn id="6" name="Proper" dataDxfId="5">
      <calculatedColumnFormula>PROPER(F6)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4:G12" totalsRowShown="0">
  <tableColumns count="4">
    <tableColumn id="1" name="Employee Code" dataDxfId="6"/>
    <tableColumn id="2" name="Employee Number" dataDxfId="7">
      <calculatedColumnFormula>LEFT(D5,4)</calculatedColumnFormula>
    </tableColumn>
    <tableColumn id="3" name="Country Code" dataDxfId="8">
      <calculatedColumnFormula>MID(D5,6,3)</calculatedColumnFormula>
    </tableColumn>
    <tableColumn id="4" name="Column1" dataDxfId="9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3" displayName="Table3" ref="C3:E8" totalsRowShown="0">
  <tableColumns count="3">
    <tableColumn id="1" name="Product Code"/>
    <tableColumn id="2" name="Code Lenght">
      <calculatedColumnFormula>LEN(C4)</calculatedColumnFormula>
    </tableColumn>
    <tableColumn id="3" name="Valid Code">
      <calculatedColumnFormula>IF(LEN(C4)=4,"Valid","Invalid")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D4:H12" totalsRowShown="0">
  <tableColumns count="5">
    <tableColumn id="1" name="Transaction" dataDxfId="10"/>
    <tableColumn id="2" name="Date"/>
    <tableColumn id="3" name="Year" dataDxfId="11">
      <calculatedColumnFormula>YEAR(E5)</calculatedColumnFormula>
    </tableColumn>
    <tableColumn id="4" name="Month" dataDxfId="12">
      <calculatedColumnFormula>MONTH(E5)</calculatedColumnFormula>
    </tableColumn>
    <tableColumn id="5" name="Day" dataDxfId="13">
      <calculatedColumnFormula>DAY(E5)</calculatedColumnFormula>
    </tableColumn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D5:F13" totalsRowShown="0">
  <tableColumns count="3">
    <tableColumn id="1" name="Customer" dataDxfId="14"/>
    <tableColumn id="2" name="Registration Date"/>
    <tableColumn id="3" name="Days Since Registration" dataDxfId="15">
      <calculatedColumnFormula>TODAY()-E6</calculatedColumnFormula>
    </tableColumn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D4:K12" totalsRowShown="0">
  <tableColumns count="8">
    <tableColumn id="1" name="Transaction ID" dataDxfId="16"/>
    <tableColumn id="2" name="Customer Name" dataDxfId="17"/>
    <tableColumn id="3" name="Product Code" dataDxfId="18"/>
    <tableColumn id="4" name="Transaction Date"/>
    <tableColumn id="5" name="Clean Customer Name" dataDxfId="19">
      <calculatedColumnFormula>PROPER(TRIM(E5))</calculatedColumnFormula>
    </tableColumn>
    <tableColumn id="6" name="Year" dataDxfId="20">
      <calculatedColumnFormula>YEAR(G5)</calculatedColumnFormula>
    </tableColumn>
    <tableColumn id="7" name="Month" dataDxfId="21">
      <calculatedColumnFormula>MONTH(G5)</calculatedColumnFormula>
    </tableColumn>
    <tableColumn id="8" name="Customer Name length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H23"/>
  <sheetViews>
    <sheetView topLeftCell="A4" workbookViewId="0">
      <selection activeCell="E6" sqref="E6"/>
    </sheetView>
  </sheetViews>
  <sheetFormatPr defaultColWidth="9.14285714285714" defaultRowHeight="15" outlineLevelCol="7"/>
  <cols>
    <col min="3" max="3" width="16.1428571428571" customWidth="1"/>
    <col min="4" max="4" width="19.5714285714286" customWidth="1"/>
    <col min="5" max="5" width="20.4285714285714" customWidth="1"/>
    <col min="6" max="6" width="17.8571428571429" customWidth="1"/>
    <col min="7" max="7" width="15.5714285714286" customWidth="1"/>
    <col min="8" max="8" width="16.2857142857143" customWidth="1"/>
  </cols>
  <sheetData>
    <row r="5" spans="3:8">
      <c r="C5" s="17" t="s">
        <v>0</v>
      </c>
      <c r="D5" s="17" t="s">
        <v>1</v>
      </c>
      <c r="E5" t="s">
        <v>2</v>
      </c>
      <c r="F5" t="s">
        <v>3</v>
      </c>
      <c r="G5" t="s">
        <v>4</v>
      </c>
      <c r="H5" t="s">
        <v>5</v>
      </c>
    </row>
    <row r="6" spans="3:8">
      <c r="C6" s="18" t="s">
        <v>6</v>
      </c>
      <c r="D6" s="19" t="s">
        <v>7</v>
      </c>
      <c r="E6" s="20" t="str">
        <f t="shared" ref="E6:E13" si="0">TRIM(D6)</f>
        <v>john smith</v>
      </c>
      <c r="F6" s="7" t="str">
        <f t="shared" ref="F6:F13" si="1">UPPER(E6)</f>
        <v>JOHN SMITH</v>
      </c>
      <c r="G6" s="7" t="str">
        <f t="shared" ref="G6:G13" si="2">LOWER(F6)</f>
        <v>john smith</v>
      </c>
      <c r="H6" s="7" t="str">
        <f t="shared" ref="H6:H13" si="3">PROPER(F6)</f>
        <v>John Smith</v>
      </c>
    </row>
    <row r="7" spans="3:8">
      <c r="C7" s="18" t="s">
        <v>8</v>
      </c>
      <c r="D7" s="19" t="s">
        <v>9</v>
      </c>
      <c r="E7" s="20" t="str">
        <f t="shared" si="0"/>
        <v>MARY JONES</v>
      </c>
      <c r="F7" s="7" t="str">
        <f t="shared" si="1"/>
        <v>MARY JONES</v>
      </c>
      <c r="G7" s="7" t="str">
        <f t="shared" si="2"/>
        <v>mary jones</v>
      </c>
      <c r="H7" s="7" t="str">
        <f t="shared" si="3"/>
        <v>Mary Jones</v>
      </c>
    </row>
    <row r="8" spans="3:8">
      <c r="C8" s="18" t="s">
        <v>10</v>
      </c>
      <c r="D8" s="19" t="s">
        <v>11</v>
      </c>
      <c r="E8" s="20" t="str">
        <f t="shared" si="0"/>
        <v>david brown</v>
      </c>
      <c r="F8" s="7" t="str">
        <f t="shared" si="1"/>
        <v>DAVID BROWN</v>
      </c>
      <c r="G8" s="7" t="str">
        <f t="shared" si="2"/>
        <v>david brown</v>
      </c>
      <c r="H8" s="7" t="str">
        <f t="shared" si="3"/>
        <v>David Brown</v>
      </c>
    </row>
    <row r="9" spans="3:8">
      <c r="C9" s="18" t="s">
        <v>12</v>
      </c>
      <c r="D9" s="19" t="s">
        <v>13</v>
      </c>
      <c r="E9" s="20" t="str">
        <f t="shared" si="0"/>
        <v>SARAH WILLIAMS</v>
      </c>
      <c r="F9" s="7" t="str">
        <f t="shared" si="1"/>
        <v>SARAH WILLIAMS</v>
      </c>
      <c r="G9" s="7" t="str">
        <f t="shared" si="2"/>
        <v>sarah williams</v>
      </c>
      <c r="H9" s="7" t="str">
        <f t="shared" si="3"/>
        <v>Sarah Williams</v>
      </c>
    </row>
    <row r="10" spans="3:8">
      <c r="C10" s="18" t="s">
        <v>14</v>
      </c>
      <c r="D10" s="19" t="s">
        <v>15</v>
      </c>
      <c r="E10" s="20" t="str">
        <f t="shared" si="0"/>
        <v>james taylor</v>
      </c>
      <c r="F10" s="7" t="str">
        <f t="shared" si="1"/>
        <v>JAMES TAYLOR</v>
      </c>
      <c r="G10" s="7" t="str">
        <f t="shared" si="2"/>
        <v>james taylor</v>
      </c>
      <c r="H10" s="7" t="str">
        <f t="shared" si="3"/>
        <v>James Taylor</v>
      </c>
    </row>
    <row r="11" spans="3:8">
      <c r="C11" s="18" t="s">
        <v>16</v>
      </c>
      <c r="D11" s="19" t="s">
        <v>17</v>
      </c>
      <c r="E11" s="20" t="str">
        <f t="shared" si="0"/>
        <v>GRACE ANDERSON</v>
      </c>
      <c r="F11" s="7" t="str">
        <f t="shared" si="1"/>
        <v>GRACE ANDERSON</v>
      </c>
      <c r="G11" s="7" t="str">
        <f t="shared" si="2"/>
        <v>grace anderson</v>
      </c>
      <c r="H11" s="7" t="str">
        <f t="shared" si="3"/>
        <v>Grace Anderson</v>
      </c>
    </row>
    <row r="12" spans="3:8">
      <c r="C12" s="18" t="s">
        <v>18</v>
      </c>
      <c r="D12" s="19" t="s">
        <v>19</v>
      </c>
      <c r="E12" s="20" t="str">
        <f t="shared" si="0"/>
        <v>peter thomas</v>
      </c>
      <c r="F12" s="7" t="str">
        <f t="shared" si="1"/>
        <v>PETER THOMAS</v>
      </c>
      <c r="G12" s="7" t="str">
        <f t="shared" si="2"/>
        <v>peter thomas</v>
      </c>
      <c r="H12" s="7" t="str">
        <f t="shared" si="3"/>
        <v>Peter Thomas</v>
      </c>
    </row>
    <row r="13" spans="3:8">
      <c r="C13" s="18" t="s">
        <v>20</v>
      </c>
      <c r="D13" s="19" t="s">
        <v>21</v>
      </c>
      <c r="E13" s="20" t="str">
        <f t="shared" si="0"/>
        <v>RUTH JOHNSON</v>
      </c>
      <c r="F13" s="7" t="str">
        <f t="shared" si="1"/>
        <v>RUTH JOHNSON</v>
      </c>
      <c r="G13" s="7" t="str">
        <f t="shared" si="2"/>
        <v>ruth johnson</v>
      </c>
      <c r="H13" s="7" t="str">
        <f t="shared" si="3"/>
        <v>Ruth Johnson</v>
      </c>
    </row>
    <row r="18" spans="4:5">
      <c r="D18">
        <f>LEN(D6)</f>
        <v>10</v>
      </c>
      <c r="E18">
        <f>LEN(E6)</f>
        <v>10</v>
      </c>
    </row>
    <row r="19" spans="4:5">
      <c r="D19">
        <f>LEN(D7)</f>
        <v>10</v>
      </c>
      <c r="E19">
        <f>LEN(E7)</f>
        <v>10</v>
      </c>
    </row>
    <row r="20" spans="4:5">
      <c r="D20">
        <f>LEN(D8)</f>
        <v>11</v>
      </c>
      <c r="E20">
        <f>LEN(E8)</f>
        <v>11</v>
      </c>
    </row>
    <row r="21" spans="4:5">
      <c r="D21">
        <f>LEN(D9)</f>
        <v>14</v>
      </c>
      <c r="E21">
        <f>LEN(E9)</f>
        <v>14</v>
      </c>
    </row>
    <row r="22" spans="4:5">
      <c r="D22">
        <f>LEN(D10)</f>
        <v>12</v>
      </c>
      <c r="E22">
        <f>LEN(E10)</f>
        <v>12</v>
      </c>
    </row>
    <row r="23" spans="4:5">
      <c r="D23">
        <f>LEN(D11)</f>
        <v>14</v>
      </c>
      <c r="E23">
        <f>LEN(E11)</f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G12"/>
  <sheetViews>
    <sheetView topLeftCell="A4" workbookViewId="0">
      <selection activeCell="K4" sqref="K4:M9"/>
    </sheetView>
  </sheetViews>
  <sheetFormatPr defaultColWidth="9.14285714285714" defaultRowHeight="15" outlineLevelCol="6"/>
  <cols>
    <col min="4" max="4" width="20.4285714285714" customWidth="1"/>
    <col min="5" max="5" width="19.1428571428571" customWidth="1"/>
    <col min="6" max="6" width="14" customWidth="1"/>
    <col min="7" max="7" width="11.2857142857143" customWidth="1"/>
    <col min="12" max="12" width="6.71428571428571" customWidth="1"/>
  </cols>
  <sheetData>
    <row r="4" spans="4:7">
      <c r="D4" s="3" t="s">
        <v>22</v>
      </c>
      <c r="E4" s="4" t="s">
        <v>23</v>
      </c>
      <c r="F4" s="16" t="s">
        <v>24</v>
      </c>
      <c r="G4" t="s">
        <v>25</v>
      </c>
    </row>
    <row r="5" spans="4:7">
      <c r="D5" s="5" t="s">
        <v>26</v>
      </c>
      <c r="E5" s="7" t="str">
        <f t="shared" ref="E5:E12" si="0">LEFT(D5,4)</f>
        <v>E001</v>
      </c>
      <c r="F5" s="7" t="str">
        <f t="shared" ref="F5:F12" si="1">MID(D5,6,3)</f>
        <v>QAT</v>
      </c>
      <c r="G5" s="7"/>
    </row>
    <row r="6" spans="4:7">
      <c r="D6" s="5" t="s">
        <v>27</v>
      </c>
      <c r="E6" s="7" t="str">
        <f t="shared" si="0"/>
        <v>E002</v>
      </c>
      <c r="F6" s="7" t="str">
        <f t="shared" si="1"/>
        <v>NGA</v>
      </c>
      <c r="G6" s="7"/>
    </row>
    <row r="7" spans="4:7">
      <c r="D7" s="5" t="s">
        <v>28</v>
      </c>
      <c r="E7" s="7" t="str">
        <f t="shared" si="0"/>
        <v>E003</v>
      </c>
      <c r="F7" s="7" t="str">
        <f t="shared" si="1"/>
        <v>UK</v>
      </c>
      <c r="G7" s="7"/>
    </row>
    <row r="8" spans="4:7">
      <c r="D8" s="5" t="s">
        <v>29</v>
      </c>
      <c r="E8" s="7" t="str">
        <f t="shared" si="0"/>
        <v>E004</v>
      </c>
      <c r="F8" s="7" t="str">
        <f t="shared" si="1"/>
        <v>CAN</v>
      </c>
      <c r="G8" s="7"/>
    </row>
    <row r="9" spans="4:7">
      <c r="D9" s="5" t="s">
        <v>30</v>
      </c>
      <c r="E9" s="7" t="str">
        <f t="shared" si="0"/>
        <v>E005</v>
      </c>
      <c r="F9" s="7" t="str">
        <f t="shared" si="1"/>
        <v>QAT</v>
      </c>
      <c r="G9" s="7"/>
    </row>
    <row r="10" spans="4:7">
      <c r="D10" s="5" t="s">
        <v>31</v>
      </c>
      <c r="E10" s="7" t="str">
        <f t="shared" si="0"/>
        <v>E006</v>
      </c>
      <c r="F10" s="7" t="str">
        <f t="shared" si="1"/>
        <v>NGA</v>
      </c>
      <c r="G10" s="7"/>
    </row>
    <row r="11" ht="30" spans="4:7">
      <c r="D11" s="5" t="s">
        <v>32</v>
      </c>
      <c r="E11" s="7" t="str">
        <f t="shared" si="0"/>
        <v>E007</v>
      </c>
      <c r="F11" s="7" t="str">
        <f t="shared" si="1"/>
        <v>CAN</v>
      </c>
      <c r="G11" s="7"/>
    </row>
    <row r="12" spans="4:7">
      <c r="D12" s="5" t="s">
        <v>33</v>
      </c>
      <c r="E12" s="7" t="str">
        <f t="shared" si="0"/>
        <v>E008</v>
      </c>
      <c r="F12" s="7" t="str">
        <f t="shared" si="1"/>
        <v>UK</v>
      </c>
      <c r="G12" s="7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8"/>
  <sheetViews>
    <sheetView workbookViewId="0">
      <selection activeCell="K6" sqref="K6"/>
    </sheetView>
  </sheetViews>
  <sheetFormatPr defaultColWidth="9.14285714285714" defaultRowHeight="15" outlineLevelRow="7" outlineLevelCol="4"/>
  <sheetData>
    <row r="3" ht="30" spans="3:5">
      <c r="C3" s="3" t="s">
        <v>34</v>
      </c>
      <c r="D3" s="3" t="s">
        <v>35</v>
      </c>
      <c r="E3" s="4" t="s">
        <v>36</v>
      </c>
    </row>
    <row r="4" spans="3:5">
      <c r="C4" s="5" t="s">
        <v>37</v>
      </c>
      <c r="D4" s="15">
        <f t="shared" ref="D4:D8" si="0">LEN(C4)</f>
        <v>4</v>
      </c>
      <c r="E4" s="7" t="str">
        <f t="shared" ref="E4:E8" si="1">IF(LEN(C4)=4,"Valid","Invalid")</f>
        <v>Valid</v>
      </c>
    </row>
    <row r="5" spans="3:5">
      <c r="C5" s="5" t="s">
        <v>38</v>
      </c>
      <c r="D5" s="15">
        <f t="shared" si="0"/>
        <v>4</v>
      </c>
      <c r="E5" s="7" t="str">
        <f t="shared" si="1"/>
        <v>Valid</v>
      </c>
    </row>
    <row r="6" spans="3:5">
      <c r="C6" s="5" t="s">
        <v>39</v>
      </c>
      <c r="D6" s="15">
        <f t="shared" si="0"/>
        <v>4</v>
      </c>
      <c r="E6" s="7" t="str">
        <f t="shared" si="1"/>
        <v>Valid</v>
      </c>
    </row>
    <row r="7" spans="3:5">
      <c r="C7" s="5" t="s">
        <v>40</v>
      </c>
      <c r="D7" s="15">
        <f t="shared" si="0"/>
        <v>4</v>
      </c>
      <c r="E7" s="7" t="str">
        <f t="shared" si="1"/>
        <v>Valid</v>
      </c>
    </row>
    <row r="8" spans="3:5">
      <c r="C8" s="5" t="s">
        <v>41</v>
      </c>
      <c r="D8" s="15">
        <f t="shared" si="0"/>
        <v>4</v>
      </c>
      <c r="E8" s="7" t="str">
        <f t="shared" si="1"/>
        <v>Valid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O12"/>
  <sheetViews>
    <sheetView workbookViewId="0">
      <selection activeCell="L7" sqref="L7"/>
    </sheetView>
  </sheetViews>
  <sheetFormatPr defaultColWidth="9.14285714285714" defaultRowHeight="15"/>
  <cols>
    <col min="4" max="4" width="14.4285714285714" customWidth="1"/>
    <col min="5" max="5" width="17.8571428571429" customWidth="1"/>
    <col min="14" max="14" width="10.2857142857143"/>
  </cols>
  <sheetData>
    <row r="4" spans="4:8">
      <c r="D4" s="3" t="s">
        <v>42</v>
      </c>
      <c r="E4" s="3" t="s">
        <v>43</v>
      </c>
      <c r="F4" s="4" t="s">
        <v>44</v>
      </c>
      <c r="G4" s="4" t="s">
        <v>45</v>
      </c>
      <c r="H4" s="4" t="s">
        <v>46</v>
      </c>
    </row>
    <row r="5" spans="4:15">
      <c r="D5" s="5" t="s">
        <v>47</v>
      </c>
      <c r="E5" s="6">
        <v>46037</v>
      </c>
      <c r="F5" s="7">
        <f t="shared" ref="F5:F12" si="0">YEAR(E5)</f>
        <v>2026</v>
      </c>
      <c r="G5" s="7">
        <f t="shared" ref="G5:G12" si="1">MONTH(E5)</f>
        <v>1</v>
      </c>
      <c r="H5" s="7">
        <f t="shared" ref="H5:H12" si="2">DAY(E5)</f>
        <v>15</v>
      </c>
      <c r="L5">
        <f ca="1">TODAY()-E5</f>
        <v>215</v>
      </c>
      <c r="N5" s="14">
        <f ca="1">TODAY()</f>
        <v>46252</v>
      </c>
      <c r="O5">
        <f ca="1">TODAY()-E5</f>
        <v>215</v>
      </c>
    </row>
    <row r="6" spans="4:8">
      <c r="D6" s="5" t="s">
        <v>48</v>
      </c>
      <c r="E6" s="6">
        <v>46076</v>
      </c>
      <c r="F6" s="7">
        <f t="shared" si="0"/>
        <v>2026</v>
      </c>
      <c r="G6" s="7">
        <f t="shared" si="1"/>
        <v>2</v>
      </c>
      <c r="H6" s="7">
        <f t="shared" si="2"/>
        <v>23</v>
      </c>
    </row>
    <row r="7" spans="4:8">
      <c r="D7" s="5" t="s">
        <v>49</v>
      </c>
      <c r="E7" s="6">
        <v>46088</v>
      </c>
      <c r="F7" s="7">
        <f t="shared" si="0"/>
        <v>2026</v>
      </c>
      <c r="G7" s="7">
        <f t="shared" si="1"/>
        <v>3</v>
      </c>
      <c r="H7" s="7">
        <f t="shared" si="2"/>
        <v>7</v>
      </c>
    </row>
    <row r="8" spans="4:8">
      <c r="D8" s="5" t="s">
        <v>50</v>
      </c>
      <c r="E8" s="6">
        <v>46131</v>
      </c>
      <c r="F8" s="7">
        <f t="shared" si="0"/>
        <v>2026</v>
      </c>
      <c r="G8" s="7">
        <f t="shared" si="1"/>
        <v>4</v>
      </c>
      <c r="H8" s="7">
        <f t="shared" si="2"/>
        <v>19</v>
      </c>
    </row>
    <row r="9" spans="4:8">
      <c r="D9" s="5" t="s">
        <v>51</v>
      </c>
      <c r="E9" s="6">
        <v>46153</v>
      </c>
      <c r="F9" s="7">
        <f t="shared" si="0"/>
        <v>2026</v>
      </c>
      <c r="G9" s="7">
        <f t="shared" si="1"/>
        <v>5</v>
      </c>
      <c r="H9" s="7">
        <f t="shared" si="2"/>
        <v>11</v>
      </c>
    </row>
    <row r="10" spans="4:8">
      <c r="D10" s="5" t="s">
        <v>52</v>
      </c>
      <c r="E10" s="6">
        <v>46201</v>
      </c>
      <c r="F10" s="7">
        <f t="shared" si="0"/>
        <v>2026</v>
      </c>
      <c r="G10" s="7">
        <f t="shared" si="1"/>
        <v>6</v>
      </c>
      <c r="H10" s="7">
        <f t="shared" si="2"/>
        <v>28</v>
      </c>
    </row>
    <row r="11" spans="4:8">
      <c r="D11" s="5" t="s">
        <v>53</v>
      </c>
      <c r="E11" s="6">
        <v>46207</v>
      </c>
      <c r="F11" s="7">
        <f t="shared" si="0"/>
        <v>2026</v>
      </c>
      <c r="G11" s="7">
        <f t="shared" si="1"/>
        <v>7</v>
      </c>
      <c r="H11" s="7">
        <f t="shared" si="2"/>
        <v>4</v>
      </c>
    </row>
    <row r="12" spans="4:8">
      <c r="D12" s="5" t="s">
        <v>54</v>
      </c>
      <c r="E12" s="6">
        <v>46250</v>
      </c>
      <c r="F12" s="7">
        <f t="shared" si="0"/>
        <v>2026</v>
      </c>
      <c r="G12" s="7">
        <f t="shared" si="1"/>
        <v>8</v>
      </c>
      <c r="H12" s="7">
        <f t="shared" si="2"/>
        <v>16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I16" sqref="I16"/>
    </sheetView>
  </sheetViews>
  <sheetFormatPr defaultColWidth="9.14285714285714" defaultRowHeight="15" outlineLevelCol="7"/>
  <cols>
    <col min="4" max="4" width="20.2857142857143" customWidth="1"/>
    <col min="5" max="5" width="19.7142857142857" customWidth="1"/>
    <col min="6" max="6" width="24.1428571428571" customWidth="1"/>
  </cols>
  <sheetData>
    <row r="1" spans="1:1">
      <c r="A1" t="s">
        <v>55</v>
      </c>
    </row>
    <row r="4" spans="4:8">
      <c r="D4" s="8" t="s">
        <v>56</v>
      </c>
      <c r="E4" s="8"/>
      <c r="F4" s="8"/>
      <c r="G4" s="8"/>
      <c r="H4" s="8"/>
    </row>
    <row r="5" ht="30" spans="4:6">
      <c r="D5" s="9" t="s">
        <v>57</v>
      </c>
      <c r="E5" s="9" t="s">
        <v>58</v>
      </c>
      <c r="F5" t="s">
        <v>59</v>
      </c>
    </row>
    <row r="6" spans="4:6">
      <c r="D6" s="10" t="s">
        <v>60</v>
      </c>
      <c r="E6" s="11">
        <v>45672</v>
      </c>
      <c r="F6" s="12">
        <f ca="1" t="shared" ref="F6:F13" si="0">TODAY()-E6</f>
        <v>580</v>
      </c>
    </row>
    <row r="7" spans="4:6">
      <c r="D7" s="10" t="s">
        <v>61</v>
      </c>
      <c r="E7" s="11">
        <v>45736</v>
      </c>
      <c r="F7" s="12">
        <f ca="1" t="shared" si="0"/>
        <v>516</v>
      </c>
    </row>
    <row r="8" spans="4:6">
      <c r="D8" s="10" t="s">
        <v>62</v>
      </c>
      <c r="E8" s="11">
        <v>45843</v>
      </c>
      <c r="F8" s="12">
        <f ca="1" t="shared" si="0"/>
        <v>409</v>
      </c>
    </row>
    <row r="9" spans="4:6">
      <c r="D9" s="10" t="s">
        <v>63</v>
      </c>
      <c r="E9" s="11">
        <v>45942</v>
      </c>
      <c r="F9" s="12">
        <f ca="1" t="shared" si="0"/>
        <v>310</v>
      </c>
    </row>
    <row r="10" spans="4:6">
      <c r="D10" s="10" t="s">
        <v>64</v>
      </c>
      <c r="E10" s="11">
        <v>46061</v>
      </c>
      <c r="F10" s="12">
        <f ca="1" t="shared" si="0"/>
        <v>191</v>
      </c>
    </row>
    <row r="11" spans="4:6">
      <c r="D11" s="10" t="s">
        <v>65</v>
      </c>
      <c r="E11" s="11">
        <v>46130</v>
      </c>
      <c r="F11" s="12">
        <f ca="1" t="shared" si="0"/>
        <v>122</v>
      </c>
    </row>
    <row r="12" spans="4:6">
      <c r="D12" s="10" t="s">
        <v>66</v>
      </c>
      <c r="E12" s="11">
        <v>46198</v>
      </c>
      <c r="F12" s="12">
        <f ca="1" t="shared" si="0"/>
        <v>54</v>
      </c>
    </row>
    <row r="13" spans="4:6">
      <c r="D13" s="10" t="s">
        <v>67</v>
      </c>
      <c r="E13" s="11">
        <v>46213</v>
      </c>
      <c r="F13" s="12">
        <f ca="1" t="shared" si="0"/>
        <v>39</v>
      </c>
    </row>
    <row r="15" spans="4:6">
      <c r="D15" s="13" t="s">
        <v>68</v>
      </c>
      <c r="E15" s="13"/>
      <c r="F15" s="13"/>
    </row>
    <row r="16" spans="4:6">
      <c r="D16" s="13"/>
      <c r="E16" s="13"/>
      <c r="F16" s="13"/>
    </row>
    <row r="17" spans="4:6">
      <c r="D17" s="13"/>
      <c r="E17" s="13"/>
      <c r="F17" s="13"/>
    </row>
  </sheetData>
  <mergeCells count="2">
    <mergeCell ref="D4:H4"/>
    <mergeCell ref="D15:F17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K12"/>
  <sheetViews>
    <sheetView tabSelected="1" topLeftCell="B1" workbookViewId="0">
      <selection activeCell="D3" sqref="D3:K3"/>
    </sheetView>
  </sheetViews>
  <sheetFormatPr defaultColWidth="9.14285714285714" defaultRowHeight="15"/>
  <cols>
    <col min="4" max="4" width="14.8571428571429" customWidth="1"/>
    <col min="5" max="5" width="21.1428571428571" customWidth="1"/>
    <col min="6" max="6" width="13.7142857142857" customWidth="1"/>
    <col min="7" max="7" width="16.7142857142857" customWidth="1"/>
    <col min="8" max="8" width="23.2857142857143" customWidth="1"/>
    <col min="11" max="11" width="26.2857142857143" customWidth="1"/>
  </cols>
  <sheetData>
    <row r="3" ht="36" spans="4:11">
      <c r="D3" s="1" t="s">
        <v>69</v>
      </c>
      <c r="E3" s="2"/>
      <c r="F3" s="2"/>
      <c r="G3" s="2"/>
      <c r="H3" s="2"/>
      <c r="I3" s="2"/>
      <c r="J3" s="2"/>
      <c r="K3" s="2"/>
    </row>
    <row r="4" spans="4:11">
      <c r="D4" s="3" t="s">
        <v>70</v>
      </c>
      <c r="E4" s="3" t="s">
        <v>71</v>
      </c>
      <c r="F4" s="3" t="s">
        <v>34</v>
      </c>
      <c r="G4" s="3" t="s">
        <v>72</v>
      </c>
      <c r="H4" s="4" t="s">
        <v>73</v>
      </c>
      <c r="I4" s="4" t="s">
        <v>44</v>
      </c>
      <c r="J4" s="4" t="s">
        <v>45</v>
      </c>
      <c r="K4" s="4" t="s">
        <v>74</v>
      </c>
    </row>
    <row r="5" ht="30" spans="4:11">
      <c r="D5" s="5" t="s">
        <v>47</v>
      </c>
      <c r="E5" s="5" t="s">
        <v>7</v>
      </c>
      <c r="F5" s="5" t="s">
        <v>37</v>
      </c>
      <c r="G5" s="6">
        <v>46037</v>
      </c>
      <c r="H5" s="7" t="str">
        <f t="shared" ref="H5:H12" si="0">PROPER(TRIM(E5))</f>
        <v>John Smith</v>
      </c>
      <c r="I5" s="7">
        <f t="shared" ref="I5:I12" si="1">YEAR(G5)</f>
        <v>2026</v>
      </c>
      <c r="J5" s="7">
        <f t="shared" ref="J5:J12" si="2">MONTH(G5)</f>
        <v>1</v>
      </c>
      <c r="K5" s="4"/>
    </row>
    <row r="6" ht="30" spans="4:11">
      <c r="D6" s="5" t="s">
        <v>48</v>
      </c>
      <c r="E6" s="5" t="s">
        <v>9</v>
      </c>
      <c r="F6" s="5" t="s">
        <v>38</v>
      </c>
      <c r="G6" s="6">
        <v>46076</v>
      </c>
      <c r="H6" s="7" t="str">
        <f t="shared" si="0"/>
        <v>Mary Jones</v>
      </c>
      <c r="I6" s="7">
        <f t="shared" si="1"/>
        <v>2026</v>
      </c>
      <c r="J6" s="7">
        <f t="shared" si="2"/>
        <v>2</v>
      </c>
      <c r="K6" s="4"/>
    </row>
    <row r="7" ht="30" spans="4:11">
      <c r="D7" s="5" t="s">
        <v>49</v>
      </c>
      <c r="E7" s="5" t="s">
        <v>11</v>
      </c>
      <c r="F7" s="5" t="s">
        <v>39</v>
      </c>
      <c r="G7" s="6">
        <v>46088</v>
      </c>
      <c r="H7" s="7" t="str">
        <f t="shared" si="0"/>
        <v>David Brown</v>
      </c>
      <c r="I7" s="7">
        <f t="shared" si="1"/>
        <v>2026</v>
      </c>
      <c r="J7" s="7">
        <f t="shared" si="2"/>
        <v>3</v>
      </c>
      <c r="K7" s="4"/>
    </row>
    <row r="8" ht="45" spans="4:11">
      <c r="D8" s="5" t="s">
        <v>50</v>
      </c>
      <c r="E8" s="5" t="s">
        <v>13</v>
      </c>
      <c r="F8" s="5" t="s">
        <v>75</v>
      </c>
      <c r="G8" s="6">
        <v>46131</v>
      </c>
      <c r="H8" s="7" t="str">
        <f t="shared" si="0"/>
        <v>Sarah Williams</v>
      </c>
      <c r="I8" s="7">
        <f t="shared" si="1"/>
        <v>2026</v>
      </c>
      <c r="J8" s="7">
        <f t="shared" si="2"/>
        <v>4</v>
      </c>
      <c r="K8" s="4"/>
    </row>
    <row r="9" ht="30" spans="4:11">
      <c r="D9" s="5" t="s">
        <v>51</v>
      </c>
      <c r="E9" s="5" t="s">
        <v>15</v>
      </c>
      <c r="F9" s="5" t="s">
        <v>76</v>
      </c>
      <c r="G9" s="6">
        <v>46153</v>
      </c>
      <c r="H9" s="7" t="str">
        <f t="shared" si="0"/>
        <v>James Taylor</v>
      </c>
      <c r="I9" s="7">
        <f t="shared" si="1"/>
        <v>2026</v>
      </c>
      <c r="J9" s="7">
        <f t="shared" si="2"/>
        <v>5</v>
      </c>
      <c r="K9" s="4"/>
    </row>
    <row r="10" ht="45" spans="4:11">
      <c r="D10" s="5" t="s">
        <v>52</v>
      </c>
      <c r="E10" s="5" t="s">
        <v>17</v>
      </c>
      <c r="F10" s="5" t="s">
        <v>77</v>
      </c>
      <c r="G10" s="6">
        <v>46201</v>
      </c>
      <c r="H10" s="7" t="str">
        <f t="shared" si="0"/>
        <v>Grace Anderson</v>
      </c>
      <c r="I10" s="7">
        <f t="shared" si="1"/>
        <v>2026</v>
      </c>
      <c r="J10" s="7">
        <f t="shared" si="2"/>
        <v>6</v>
      </c>
      <c r="K10" s="4"/>
    </row>
    <row r="11" ht="30" spans="4:11">
      <c r="D11" s="5" t="s">
        <v>53</v>
      </c>
      <c r="E11" s="5" t="s">
        <v>19</v>
      </c>
      <c r="F11" s="5" t="s">
        <v>78</v>
      </c>
      <c r="G11" s="6">
        <v>46207</v>
      </c>
      <c r="H11" s="7" t="str">
        <f t="shared" si="0"/>
        <v>Peter Thomas</v>
      </c>
      <c r="I11" s="7">
        <f t="shared" si="1"/>
        <v>2026</v>
      </c>
      <c r="J11" s="7">
        <f t="shared" si="2"/>
        <v>7</v>
      </c>
      <c r="K11" s="4"/>
    </row>
    <row r="12" ht="45" spans="4:11">
      <c r="D12" s="5" t="s">
        <v>54</v>
      </c>
      <c r="E12" s="5" t="s">
        <v>21</v>
      </c>
      <c r="F12" s="5" t="s">
        <v>79</v>
      </c>
      <c r="G12" s="6">
        <v>46250</v>
      </c>
      <c r="H12" s="7" t="str">
        <f t="shared" si="0"/>
        <v>Ruth Johnson</v>
      </c>
      <c r="I12" s="7">
        <f t="shared" si="1"/>
        <v>2026</v>
      </c>
      <c r="J12" s="7">
        <f t="shared" si="2"/>
        <v>8</v>
      </c>
      <c r="K12" s="4"/>
    </row>
  </sheetData>
  <mergeCells count="1">
    <mergeCell ref="D3:K3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 Cleaning</vt:lpstr>
      <vt:lpstr>Employee Code</vt:lpstr>
      <vt:lpstr>LEN() FUNCTION</vt:lpstr>
      <vt:lpstr>DATE FUNCTION</vt:lpstr>
      <vt:lpstr>EXERCISE</vt:lpstr>
      <vt:lpstr>DAY 5 MINI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2026-08-10T19:32:00Z</dcterms:created>
  <dcterms:modified xsi:type="dcterms:W3CDTF">2026-08-17T22:20:44Z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E83060B736F7498BB7AAF3653272020E_13</vt:lpwstr>
  </property>
  <property fmtid="{D5CDD505-2E9C-101B-9397-08002B2CF9AE}" pid="3" name="KSOProductBuildVer">
    <vt:lpwstr>2057-12.2.0.23206</vt:lpwstr>
  </property>
</Properties>
</file>