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3.xml" ContentType="application/vnd.openxmlformats-officedocument.spreadsheetml.pivot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TICS\AI training Excel\"/>
    </mc:Choice>
  </mc:AlternateContent>
  <xr:revisionPtr revIDLastSave="0" documentId="13_ncr:1_{C549DF55-3E50-4EAE-B96F-6231FA66EBA6}" xr6:coauthVersionLast="47" xr6:coauthVersionMax="47" xr10:uidLastSave="{00000000-0000-0000-0000-000000000000}"/>
  <bookViews>
    <workbookView xWindow="-120" yWindow="-120" windowWidth="20640" windowHeight="11040" firstSheet="1" activeTab="5" xr2:uid="{BAA51774-322B-42B1-BD42-9428036B6B65}"/>
  </bookViews>
  <sheets>
    <sheet name="Student Performance" sheetId="1" r:id="rId1"/>
    <sheet name="Data Cleaning" sheetId="6" r:id="rId2"/>
    <sheet name="Employee Performance" sheetId="5" r:id="rId3"/>
    <sheet name="Employee Data" sheetId="2" r:id="rId4"/>
    <sheet name="Sales Analysis" sheetId="3" r:id="rId5"/>
    <sheet name="Dashboard" sheetId="8" r:id="rId6"/>
  </sheets>
  <definedNames>
    <definedName name="_xlnm._FilterDatabase" localSheetId="1" hidden="1">'Data Cleaning'!$D$4:$I$13</definedName>
  </definedNames>
  <calcPr calcId="191029"/>
  <pivotCaches>
    <pivotCache cacheId="102" r:id="rId7"/>
    <pivotCache cacheId="106" r:id="rId8"/>
    <pivotCache cacheId="1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6" l="1" a="1"/>
  <c r="I5" i="6" s="1"/>
  <c r="H5" i="6" a="1"/>
  <c r="H5" i="6" s="1"/>
  <c r="I13" i="5"/>
  <c r="I12" i="5"/>
  <c r="I11" i="5"/>
  <c r="I10" i="5"/>
  <c r="I9" i="5"/>
  <c r="I8" i="5"/>
  <c r="I7" i="5"/>
  <c r="I6" i="5"/>
  <c r="I5" i="5"/>
  <c r="I4" i="5"/>
  <c r="P15" i="1"/>
  <c r="P14" i="1"/>
  <c r="P13" i="1"/>
  <c r="P11" i="1"/>
  <c r="P10" i="1"/>
  <c r="P9" i="1"/>
  <c r="P7" i="1"/>
  <c r="P6" i="1"/>
  <c r="P5" i="1"/>
  <c r="F5" i="3"/>
  <c r="F6" i="3"/>
  <c r="F8" i="3"/>
  <c r="F7" i="3"/>
  <c r="F9" i="3"/>
  <c r="E20" i="2"/>
  <c r="E24" i="2"/>
  <c r="E23" i="2"/>
  <c r="E22" i="2"/>
  <c r="E21" i="2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4" i="2"/>
  <c r="I4" i="2" s="1"/>
  <c r="M7" i="1"/>
  <c r="M8" i="1"/>
  <c r="M9" i="1"/>
  <c r="M10" i="1"/>
  <c r="M11" i="1"/>
  <c r="M12" i="1"/>
  <c r="M13" i="1"/>
  <c r="M14" i="1"/>
  <c r="M15" i="1"/>
  <c r="M6" i="1"/>
  <c r="L7" i="1"/>
  <c r="L8" i="1"/>
  <c r="L9" i="1"/>
  <c r="L10" i="1"/>
  <c r="L11" i="1"/>
  <c r="L12" i="1"/>
  <c r="L13" i="1"/>
  <c r="L14" i="1"/>
  <c r="L15" i="1"/>
  <c r="L6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  <c r="E12" i="3" l="1"/>
  <c r="E13" i="3"/>
  <c r="E14" i="3"/>
  <c r="E15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<sst xmlns="http://schemas.openxmlformats.org/spreadsheetml/2006/main" count="244" uniqueCount="123">
  <si>
    <t>Student ID</t>
  </si>
  <si>
    <t>Name</t>
  </si>
  <si>
    <t>Class</t>
  </si>
  <si>
    <t>Math</t>
  </si>
  <si>
    <t>English</t>
  </si>
  <si>
    <t>Science</t>
  </si>
  <si>
    <t>John</t>
  </si>
  <si>
    <t>Grade 6</t>
  </si>
  <si>
    <t>Mary</t>
  </si>
  <si>
    <t>David</t>
  </si>
  <si>
    <t>Grade 5</t>
  </si>
  <si>
    <t>Sarah</t>
  </si>
  <si>
    <t>James</t>
  </si>
  <si>
    <t>Grace</t>
  </si>
  <si>
    <t>Daniel</t>
  </si>
  <si>
    <t>Ruth</t>
  </si>
  <si>
    <t>Peter</t>
  </si>
  <si>
    <t>Esther</t>
  </si>
  <si>
    <t>Employee ID</t>
  </si>
  <si>
    <t>Department</t>
  </si>
  <si>
    <t>Years of Service</t>
  </si>
  <si>
    <t>John Smith</t>
  </si>
  <si>
    <t>Bukky Wright</t>
  </si>
  <si>
    <t>Emmanuel Segun</t>
  </si>
  <si>
    <t>Opeoluwa Peters</t>
  </si>
  <si>
    <t>Segun Fadimu</t>
  </si>
  <si>
    <t>Tola Ibidapo</t>
  </si>
  <si>
    <t>Dolapo Esse</t>
  </si>
  <si>
    <t>Francis Okeola</t>
  </si>
  <si>
    <t>Kunle Badru</t>
  </si>
  <si>
    <t>Akanbi Faith</t>
  </si>
  <si>
    <t>Joshua Simpson</t>
  </si>
  <si>
    <t>Bright Asemota</t>
  </si>
  <si>
    <t>Tope Young</t>
  </si>
  <si>
    <t>Effiong Calistos</t>
  </si>
  <si>
    <t>Douglas Dare</t>
  </si>
  <si>
    <t>Works</t>
  </si>
  <si>
    <t>Finance</t>
  </si>
  <si>
    <t>Maintainance</t>
  </si>
  <si>
    <t>Education</t>
  </si>
  <si>
    <t>Health</t>
  </si>
  <si>
    <t>Warehouse</t>
  </si>
  <si>
    <t>Salary ($)</t>
  </si>
  <si>
    <t>Total</t>
  </si>
  <si>
    <t>Average</t>
  </si>
  <si>
    <t>Highest Score</t>
  </si>
  <si>
    <t>Lowest Score</t>
  </si>
  <si>
    <t>Annual Salary</t>
  </si>
  <si>
    <t>Bonus</t>
  </si>
  <si>
    <t>Total Payroll</t>
  </si>
  <si>
    <t>Average Salary</t>
  </si>
  <si>
    <t>Highest Salary</t>
  </si>
  <si>
    <t>Lowest Salary</t>
  </si>
  <si>
    <t>Number of Employees</t>
  </si>
  <si>
    <t>S</t>
  </si>
  <si>
    <t>Product</t>
  </si>
  <si>
    <t>Units Sold</t>
  </si>
  <si>
    <t>Unit Price</t>
  </si>
  <si>
    <t>Laptop</t>
  </si>
  <si>
    <t>Mouse</t>
  </si>
  <si>
    <t>Keyboard</t>
  </si>
  <si>
    <t>Monitor</t>
  </si>
  <si>
    <t>Printer</t>
  </si>
  <si>
    <t>Revenue</t>
  </si>
  <si>
    <t>Total Revenue</t>
  </si>
  <si>
    <t>Highest Revenue</t>
  </si>
  <si>
    <t>Lowest Revenue</t>
  </si>
  <si>
    <t>Average Revenue</t>
  </si>
  <si>
    <t>Number of Grade 5</t>
  </si>
  <si>
    <t>Number of Grade 6</t>
  </si>
  <si>
    <t>Above 85 in Math</t>
  </si>
  <si>
    <t>Total Math marks for Grade 5</t>
  </si>
  <si>
    <t>Total Math marks for Grade 6</t>
  </si>
  <si>
    <t>Total Science marks for Grade 5</t>
  </si>
  <si>
    <t>Average Math score for Grade 5</t>
  </si>
  <si>
    <t>Average Math score for Grade 6</t>
  </si>
  <si>
    <t>Average Science score for Grade 6</t>
  </si>
  <si>
    <t>Employee</t>
  </si>
  <si>
    <t>Salary</t>
  </si>
  <si>
    <t>Rating</t>
  </si>
  <si>
    <t>HR</t>
  </si>
  <si>
    <t>IT</t>
  </si>
  <si>
    <t>Number of employees in HR</t>
  </si>
  <si>
    <t>Number of employees in IT</t>
  </si>
  <si>
    <t>Total salary paid to HR</t>
  </si>
  <si>
    <t>Total salary paid to IT</t>
  </si>
  <si>
    <t>Average salary in Finance</t>
  </si>
  <si>
    <t>Average rating in HR</t>
  </si>
  <si>
    <t>Business Insight:</t>
  </si>
  <si>
    <t>average salary in HR</t>
  </si>
  <si>
    <t>average salary in  IT</t>
  </si>
  <si>
    <t>Average rating in IT</t>
  </si>
  <si>
    <t>Average rating in Finance</t>
  </si>
  <si>
    <t>Employee Name</t>
  </si>
  <si>
    <t>john smith</t>
  </si>
  <si>
    <t>hr</t>
  </si>
  <si>
    <t>Mary Jones</t>
  </si>
  <si>
    <t>David Brown</t>
  </si>
  <si>
    <t>SARAH JOHNSON</t>
  </si>
  <si>
    <t>Grace Wilson</t>
  </si>
  <si>
    <t>Peter Adams</t>
  </si>
  <si>
    <t>Ruth White</t>
  </si>
  <si>
    <t>Daniel Green</t>
  </si>
  <si>
    <t>Esther Black</t>
  </si>
  <si>
    <t>Clean Name</t>
  </si>
  <si>
    <t>Clean Department</t>
  </si>
  <si>
    <t>FINANCE EMPLOYEE ONLY</t>
  </si>
  <si>
    <t>FINANCE</t>
  </si>
  <si>
    <t>SALARY GREATER THAN 8000</t>
  </si>
  <si>
    <t>EMPLOYEE IN IT DEPARTMENT ONLY</t>
  </si>
  <si>
    <t>EMPLOYEE DATA</t>
  </si>
  <si>
    <t>Grand Total</t>
  </si>
  <si>
    <t xml:space="preserve">IT department has the highest average salary </t>
  </si>
  <si>
    <t>IT  department has the highest average rating</t>
  </si>
  <si>
    <t>HR  department has  the lowest average  salary</t>
  </si>
  <si>
    <t>Number of Employee</t>
  </si>
  <si>
    <t>Revenue per Product</t>
  </si>
  <si>
    <t>Laptop generated the highest revenue</t>
  </si>
  <si>
    <t>Insight</t>
  </si>
  <si>
    <t>STUDENTS PERFORMANCE IN ENGLISH, MATH, AND SCIENCE</t>
  </si>
  <si>
    <t>EMPLOYEE PERFOMANCE DATA</t>
  </si>
  <si>
    <t>EMPLOYEE DATA  BY DEPARTMENTS AND SALARIES</t>
  </si>
  <si>
    <t>BUSINESS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</si>
</sst>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66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0" fillId="0" borderId="5" xfId="0" applyBorder="1"/>
    <xf numFmtId="165" fontId="0" fillId="0" borderId="6" xfId="0" applyNumberFormat="1" applyBorder="1"/>
    <xf numFmtId="0" fontId="2" fillId="0" borderId="3" xfId="0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0" fillId="0" borderId="6" xfId="1" applyNumberFormat="1" applyFont="1" applyBorder="1"/>
    <xf numFmtId="166" fontId="0" fillId="0" borderId="9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 wrapText="1"/>
    </xf>
    <xf numFmtId="165" fontId="0" fillId="0" borderId="8" xfId="1" applyNumberFormat="1" applyFont="1" applyBorder="1" applyAlignment="1">
      <alignment horizontal="right" vertical="center" wrapText="1"/>
    </xf>
    <xf numFmtId="165" fontId="0" fillId="0" borderId="9" xfId="1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11" xfId="0" applyFon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0" xfId="0" applyBorder="1"/>
    <xf numFmtId="165" fontId="0" fillId="0" borderId="6" xfId="1" applyNumberFormat="1" applyFont="1" applyBorder="1" applyAlignment="1">
      <alignment horizontal="right" vertical="center"/>
    </xf>
    <xf numFmtId="165" fontId="0" fillId="0" borderId="9" xfId="1" applyNumberFormat="1" applyFon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1" xfId="0" pivotButton="1" applyBorder="1"/>
    <xf numFmtId="0" fontId="0" fillId="0" borderId="1" xfId="0" applyNumberFormat="1" applyBorder="1"/>
    <xf numFmtId="0" fontId="2" fillId="0" borderId="0" xfId="0" applyFont="1" applyAlignment="1"/>
    <xf numFmtId="0" fontId="5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30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Day 6 -Charts &amp; Data Visualization.xlsx]Sales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>
                <a:alpha val="85000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Analysis'!$H$5:$H$10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'Sales Analysis'!$I$5:$I$10</c:f>
              <c:numCache>
                <c:formatCode>_("$"* #,##0_);_("$"* \(#,##0\);_("$"* "-"??_);_(@_)</c:formatCode>
                <c:ptCount val="5"/>
                <c:pt idx="0">
                  <c:v>52500</c:v>
                </c:pt>
                <c:pt idx="1">
                  <c:v>11400</c:v>
                </c:pt>
                <c:pt idx="2">
                  <c:v>9600</c:v>
                </c:pt>
                <c:pt idx="3">
                  <c:v>4500</c:v>
                </c:pt>
                <c:pt idx="4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5-444B-8059-60447DB8FE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6379967"/>
        <c:axId val="1787298175"/>
      </c:barChart>
      <c:catAx>
        <c:axId val="17637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298175"/>
        <c:crosses val="autoZero"/>
        <c:auto val="1"/>
        <c:lblAlgn val="ctr"/>
        <c:lblOffset val="100"/>
        <c:noMultiLvlLbl val="0"/>
      </c:catAx>
      <c:valAx>
        <c:axId val="17872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7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Day 6 -Charts &amp; Data Visualization.xlsx]Employee Performance!PivotTable3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'Employee Performance'!$L$4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'Employee Performance'!$K$5:$K$8</c:f>
              <c:strCache>
                <c:ptCount val="3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</c:strCache>
            </c:strRef>
          </c:cat>
          <c:val>
            <c:numRef>
              <c:f>'Employee Performance'!$L$5:$L$8</c:f>
              <c:numCache>
                <c:formatCode>_("$"* #,##0_);_("$"* \(#,##0\);_("$"* "-"??_);_(@_)</c:formatCode>
                <c:ptCount val="3"/>
                <c:pt idx="0">
                  <c:v>7233.333333333333</c:v>
                </c:pt>
                <c:pt idx="1">
                  <c:v>5850</c:v>
                </c:pt>
                <c:pt idx="2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1-49EE-9529-1E3EC5F975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5083679"/>
        <c:axId val="1787313535"/>
      </c:barChart>
      <c:catAx>
        <c:axId val="45083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313535"/>
        <c:crosses val="autoZero"/>
        <c:auto val="1"/>
        <c:lblAlgn val="ctr"/>
        <c:lblOffset val="100"/>
        <c:noMultiLvlLbl val="0"/>
      </c:catAx>
      <c:valAx>
        <c:axId val="178731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Math Score by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'Student Performance'!$O$13:$O$14</c:f>
              <c:strCache>
                <c:ptCount val="2"/>
                <c:pt idx="0">
                  <c:v>Average Math score for Grade 5</c:v>
                </c:pt>
                <c:pt idx="1">
                  <c:v>Average Math score for Grade 6</c:v>
                </c:pt>
              </c:strCache>
            </c:strRef>
          </c:cat>
          <c:val>
            <c:numRef>
              <c:f>'Student Performance'!$P$13:$P$14</c:f>
              <c:numCache>
                <c:formatCode>General</c:formatCode>
                <c:ptCount val="2"/>
                <c:pt idx="0">
                  <c:v>88.8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F-4853-8CEE-583A7055DA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6695535"/>
        <c:axId val="1682016895"/>
      </c:barChart>
      <c:catAx>
        <c:axId val="3669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16895"/>
        <c:crosses val="autoZero"/>
        <c:auto val="1"/>
        <c:lblAlgn val="ctr"/>
        <c:lblOffset val="100"/>
        <c:noMultiLvlLbl val="0"/>
      </c:catAx>
      <c:valAx>
        <c:axId val="168201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Day 6 -Charts &amp; Data Visualization.xlsx]Employee Data!PivotTable7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Employee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Data'!$L$3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'Employee Data'!$K$4:$K$10</c:f>
              <c:strCache>
                <c:ptCount val="6"/>
                <c:pt idx="0">
                  <c:v>Education</c:v>
                </c:pt>
                <c:pt idx="1">
                  <c:v>Finance</c:v>
                </c:pt>
                <c:pt idx="2">
                  <c:v>Health</c:v>
                </c:pt>
                <c:pt idx="3">
                  <c:v>Maintainance</c:v>
                </c:pt>
                <c:pt idx="4">
                  <c:v>Warehouse</c:v>
                </c:pt>
                <c:pt idx="5">
                  <c:v>Works</c:v>
                </c:pt>
              </c:strCache>
            </c:strRef>
          </c:cat>
          <c:val>
            <c:numRef>
              <c:f>'Employee Data'!$L$4:$L$10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9-449F-91A0-53393BB697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082751"/>
        <c:axId val="1787333215"/>
      </c:barChart>
      <c:catAx>
        <c:axId val="4508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333215"/>
        <c:crosses val="autoZero"/>
        <c:auto val="1"/>
        <c:lblAlgn val="ctr"/>
        <c:lblOffset val="100"/>
        <c:noMultiLvlLbl val="0"/>
      </c:catAx>
      <c:valAx>
        <c:axId val="17873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No of Employee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8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609599</xdr:colOff>
      <xdr:row>4</xdr:row>
      <xdr:rowOff>0</xdr:rowOff>
    </xdr:from>
    <xdr:to>
      <xdr:col>9</xdr:col>
      <xdr:colOff>600074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966FF0-A93D-4047-8C71-F2348C389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24</xdr:row>
      <xdr:rowOff>9524</xdr:rowOff>
    </xdr:from>
    <xdr:to>
      <xdr:col>9</xdr:col>
      <xdr:colOff>600075</xdr:colOff>
      <xdr:row>42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82F049-1D01-4377-9A18-B708ECB9D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19049</xdr:colOff>
      <xdr:row>23</xdr:row>
      <xdr:rowOff>190499</xdr:rowOff>
    </xdr:from>
    <xdr:to>
      <xdr:col>18</xdr:col>
      <xdr:colOff>600074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C8387D-0227-4907-831C-B8861E4A0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</xdr:row>
      <xdr:rowOff>10026</xdr:rowOff>
    </xdr:from>
    <xdr:to>
      <xdr:col>19</xdr:col>
      <xdr:colOff>0</xdr:colOff>
      <xdr:row>22</xdr:row>
      <xdr:rowOff>180474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C28118-4AD0-495C-8FB0-935C691F6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8.041942129632" createdVersion="8" refreshedVersion="8" minRefreshableVersion="3" recordCount="15" xr:uid="{4C113B51-8E19-42AE-8457-6B11794B3886}">
  <cacheSource type="worksheet">
    <worksheetSource name="Table2"/>
  </cacheSource>
  <cacheFields count="7">
    <cacheField name="Employee ID" numFmtId="0">
      <sharedItems containsSemiMixedTypes="0" containsString="0" containsNumber="1" containsInteger="1" minValue="1" maxValue="15"/>
    </cacheField>
    <cacheField name="Name" numFmtId="0">
      <sharedItems/>
    </cacheField>
    <cacheField name="Department" numFmtId="0">
      <sharedItems count="6">
        <s v="Warehouse"/>
        <s v="Works"/>
        <s v="Health"/>
        <s v="Finance"/>
        <s v="Maintainance"/>
        <s v="Education"/>
      </sharedItems>
    </cacheField>
    <cacheField name="Salary ($)" numFmtId="165">
      <sharedItems containsSemiMixedTypes="0" containsString="0" containsNumber="1" containsInteger="1" minValue="4000" maxValue="38000"/>
    </cacheField>
    <cacheField name="Years of Service" numFmtId="0">
      <sharedItems containsSemiMixedTypes="0" containsString="0" containsNumber="1" containsInteger="1" minValue="1" maxValue="23"/>
    </cacheField>
    <cacheField name="Annual Salary" numFmtId="165">
      <sharedItems containsSemiMixedTypes="0" containsString="0" containsNumber="1" containsInteger="1" minValue="48000" maxValue="456000"/>
    </cacheField>
    <cacheField name="Bonus" numFmtId="165">
      <sharedItems containsSemiMixedTypes="0" containsString="0" containsNumber="1" containsInteger="1" minValue="4800" maxValue="45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8.041942708332" createdVersion="8" refreshedVersion="8" minRefreshableVersion="3" recordCount="10" xr:uid="{9AD94BDC-5D22-4996-A088-BA9CAAA4DA1C}">
  <cacheSource type="worksheet">
    <worksheetSource name="Table9[[Department]:[Salary]]"/>
  </cacheSource>
  <cacheFields count="2">
    <cacheField name="Department" numFmtId="0">
      <sharedItems count="3">
        <s v="HR"/>
        <s v="IT"/>
        <s v="Finance"/>
      </sharedItems>
    </cacheField>
    <cacheField name="Salary" numFmtId="165">
      <sharedItems containsSemiMixedTypes="0" containsString="0" containsNumber="1" containsInteger="1" minValue="550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8.041942939817" createdVersion="8" refreshedVersion="8" minRefreshableVersion="3" recordCount="5" xr:uid="{666786B4-0F2F-4E1F-896F-5FEBAA759EC4}">
  <cacheSource type="worksheet">
    <worksheetSource name="Table6"/>
  </cacheSource>
  <cacheFields count="4">
    <cacheField name="Product" numFmtId="0">
      <sharedItems count="5">
        <s v="Mouse"/>
        <s v="Keyboard"/>
        <s v="Printer"/>
        <s v="Monitor"/>
        <s v="Laptop"/>
      </sharedItems>
    </cacheField>
    <cacheField name="Units Sold" numFmtId="0">
      <sharedItems containsSemiMixedTypes="0" containsString="0" containsNumber="1" containsInteger="1" minValue="8" maxValue="40"/>
    </cacheField>
    <cacheField name="Unit Price" numFmtId="165">
      <sharedItems containsSemiMixedTypes="0" containsString="0" containsNumber="1" containsInteger="1" minValue="75" maxValue="3500"/>
    </cacheField>
    <cacheField name="Revenue" numFmtId="165">
      <sharedItems containsSemiMixedTypes="0" containsString="0" containsNumber="1" containsInteger="1" minValue="3000" maxValue="5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3"/>
    <s v="Bukky Wright"/>
    <x v="0"/>
    <n v="38000"/>
    <n v="11"/>
    <n v="456000"/>
    <n v="45600"/>
  </r>
  <r>
    <n v="5"/>
    <s v="Kunle Badru"/>
    <x v="1"/>
    <n v="34000"/>
    <n v="7"/>
    <n v="408000"/>
    <n v="40800"/>
  </r>
  <r>
    <n v="9"/>
    <s v="Tope Young"/>
    <x v="2"/>
    <n v="30000"/>
    <n v="8"/>
    <n v="360000"/>
    <n v="36000"/>
  </r>
  <r>
    <n v="10"/>
    <s v="Effiong Calistos"/>
    <x v="2"/>
    <n v="30000"/>
    <n v="6"/>
    <n v="360000"/>
    <n v="36000"/>
  </r>
  <r>
    <n v="12"/>
    <s v="John Smith"/>
    <x v="3"/>
    <n v="27000"/>
    <n v="9"/>
    <n v="324000"/>
    <n v="32400"/>
  </r>
  <r>
    <n v="4"/>
    <s v="Francis Okeola"/>
    <x v="4"/>
    <n v="25000"/>
    <n v="6"/>
    <n v="300000"/>
    <n v="30000"/>
  </r>
  <r>
    <n v="8"/>
    <s v="Bright Asemota"/>
    <x v="4"/>
    <n v="25000"/>
    <n v="6"/>
    <n v="300000"/>
    <n v="30000"/>
  </r>
  <r>
    <n v="11"/>
    <s v="Douglas Dare"/>
    <x v="2"/>
    <n v="18000"/>
    <n v="8"/>
    <n v="216000"/>
    <n v="21600"/>
  </r>
  <r>
    <n v="7"/>
    <s v="Joshua Simpson"/>
    <x v="5"/>
    <n v="15000"/>
    <n v="4"/>
    <n v="180000"/>
    <n v="18000"/>
  </r>
  <r>
    <n v="14"/>
    <s v="Emmanuel Segun"/>
    <x v="0"/>
    <n v="11000"/>
    <n v="23"/>
    <n v="132000"/>
    <n v="13200"/>
  </r>
  <r>
    <n v="15"/>
    <s v="Opeoluwa Peters"/>
    <x v="3"/>
    <n v="10400"/>
    <n v="14"/>
    <n v="124800"/>
    <n v="12480"/>
  </r>
  <r>
    <n v="1"/>
    <s v="Segun Fadimu"/>
    <x v="1"/>
    <n v="5000"/>
    <n v="2"/>
    <n v="60000"/>
    <n v="6000"/>
  </r>
  <r>
    <n v="6"/>
    <s v="Akanbi Faith"/>
    <x v="1"/>
    <n v="4800"/>
    <n v="2"/>
    <n v="57600"/>
    <n v="5760"/>
  </r>
  <r>
    <n v="2"/>
    <s v="Tola Ibidapo"/>
    <x v="3"/>
    <n v="4500"/>
    <n v="3"/>
    <n v="54000"/>
    <n v="5400"/>
  </r>
  <r>
    <n v="3"/>
    <s v="Dolapo Esse"/>
    <x v="2"/>
    <n v="4000"/>
    <n v="1"/>
    <n v="48000"/>
    <n v="4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500"/>
  </r>
  <r>
    <x v="1"/>
    <n v="8000"/>
  </r>
  <r>
    <x v="2"/>
    <n v="7000"/>
  </r>
  <r>
    <x v="0"/>
    <n v="6000"/>
  </r>
  <r>
    <x v="1"/>
    <n v="9000"/>
  </r>
  <r>
    <x v="2"/>
    <n v="7500"/>
  </r>
  <r>
    <x v="0"/>
    <n v="5800"/>
  </r>
  <r>
    <x v="1"/>
    <n v="8500"/>
  </r>
  <r>
    <x v="2"/>
    <n v="7200"/>
  </r>
  <r>
    <x v="0"/>
    <n v="61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0"/>
    <n v="75"/>
    <n v="3000"/>
  </r>
  <r>
    <x v="1"/>
    <n v="25"/>
    <n v="180"/>
    <n v="4500"/>
  </r>
  <r>
    <x v="2"/>
    <n v="8"/>
    <n v="1200"/>
    <n v="9600"/>
  </r>
  <r>
    <x v="3"/>
    <n v="12"/>
    <n v="950"/>
    <n v="11400"/>
  </r>
  <r>
    <x v="4"/>
    <n v="15"/>
    <n v="3500"/>
    <n v="5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4D79D-2785-46DC-95F5-B517053B0749}" name="PivotTable3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Department">
  <location ref="K4:L8" firstHeaderRow="1" firstDataRow="1" firstDataCol="1"/>
  <pivotFields count="2">
    <pivotField axis="axisRow" showAll="0">
      <items count="4">
        <item x="2"/>
        <item x="0"/>
        <item x="1"/>
        <item t="default"/>
      </items>
    </pivotField>
    <pivotField dataField="1" numFmtId="165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Salary" fld="1" subtotal="average" baseField="0" baseItem="0" numFmtId="165"/>
  </dataFields>
  <chartFormats count="1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8640D-EF3B-47B7-93BB-ADD6FB0CED51}" name="PivotTable7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>
  <location ref="K3:L10" firstHeaderRow="1" firstDataRow="1" firstDataCol="1"/>
  <pivotFields count="7">
    <pivotField dataField="1" showAll="0"/>
    <pivotField showAll="0"/>
    <pivotField axis="axisRow" showAll="0">
      <items count="7">
        <item x="5"/>
        <item x="3"/>
        <item x="2"/>
        <item x="4"/>
        <item x="0"/>
        <item x="1"/>
        <item t="default"/>
      </items>
    </pivotField>
    <pivotField numFmtId="165" showAll="0"/>
    <pivotField showAll="0"/>
    <pivotField numFmtId="165" showAll="0"/>
    <pivotField numFmtId="165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Employee" fld="0" subtotal="count" baseField="2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" type="button" dataOnly="0" labelOnly="1" outline="0" axis="axisRow" fieldPosition="0"/>
    </format>
    <format dxfId="51">
      <pivotArea dataOnly="0" labelOnly="1" fieldPosition="0">
        <references count="1">
          <reference field="2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8E3C9-D366-487A-B8A1-83B712E0E895}" name="PivotTable6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H4:I10" firstHeaderRow="1" firstDataRow="1" firstDataCol="1"/>
  <pivotFields count="4">
    <pivotField axis="axisRow" showAll="0" sortType="de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dataField="1" numFmtId="165" showAll="0"/>
  </pivotFields>
  <rowFields count="1">
    <field x="0"/>
  </rowFields>
  <rowItems count="6">
    <i>
      <x v="3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Revenue per Product" fld="3" baseField="0" baseItem="0" numFmtId="165"/>
  </dataField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2989-31AF-45E6-BC9D-A709E4447D66}" name="Table1" displayName="Table1" ref="D5:M15" totalsRowShown="0" headerRowDxfId="306" dataDxfId="304" headerRowBorderDxfId="305" tableBorderDxfId="303" totalsRowBorderDxfId="302">
  <tableColumns count="10">
    <tableColumn id="1" xr3:uid="{E2911C44-0AAC-40AB-8A55-9A8784413DC0}" name="Student ID" dataDxfId="301"/>
    <tableColumn id="2" xr3:uid="{1C070138-3BAB-4B57-ADF8-06C764C1CADD}" name="Name" dataDxfId="300"/>
    <tableColumn id="3" xr3:uid="{40C3933A-FC27-418D-B14B-0C5CBCFE044C}" name="Class" dataDxfId="299"/>
    <tableColumn id="4" xr3:uid="{EAAAAD63-6782-4833-A035-57DACD7F4A0B}" name="Math" dataDxfId="298"/>
    <tableColumn id="5" xr3:uid="{6C491A58-FC76-4BA2-96CB-2C092E6685F3}" name="English" dataDxfId="297"/>
    <tableColumn id="6" xr3:uid="{D10F9689-CE4C-46FF-BE4F-7245BF267F04}" name="Science" dataDxfId="296"/>
    <tableColumn id="7" xr3:uid="{8E9E879B-562B-4EC7-BA41-2E8D793FAD5B}" name="Total" dataDxfId="295">
      <calculatedColumnFormula>SUM(Table1[[#This Row],[Math]:[Science]])</calculatedColumnFormula>
    </tableColumn>
    <tableColumn id="8" xr3:uid="{A7326A8F-FA30-40F3-BD7A-E9C3241DB0A3}" name="Average" dataDxfId="294">
      <calculatedColumnFormula>AVERAGE(Table1[[#This Row],[Math]:[Science]])</calculatedColumnFormula>
    </tableColumn>
    <tableColumn id="9" xr3:uid="{65AFDC4E-8ED0-4081-9341-F470C890BCD3}" name="Highest Score" dataDxfId="293">
      <calculatedColumnFormula>MAX(Table1[[#This Row],[Math]:[Science]])</calculatedColumnFormula>
    </tableColumn>
    <tableColumn id="10" xr3:uid="{71331696-C701-4CCD-AE2E-9107D7D9BF6D}" name="Lowest Score" dataDxfId="292">
      <calculatedColumnFormula>MIN(Table1[[#This Row],[Math]:[Science]])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12990B-E088-42CB-9E01-9A6ED7EE38F8}" name="Table3" displayName="Table3" ref="O5:P7" headerRowCount="0" totalsRowShown="0" headerRowDxfId="291" tableBorderDxfId="290" totalsRowBorderDxfId="289">
  <tableColumns count="2">
    <tableColumn id="1" xr3:uid="{80F42889-167B-4504-8FCA-371529BCC3C6}" name="Column1" dataDxfId="288"/>
    <tableColumn id="2" xr3:uid="{8D8059E9-2166-4397-8684-A899854B33B7}" name="Column2" dataDxfId="2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51AF0-FAAA-4DD7-9A21-1DA8BC8620F7}" name="Table4" displayName="Table4" ref="O9:P11" headerRowCount="0" totalsRowShown="0" headerRowDxfId="286" tableBorderDxfId="285" totalsRowBorderDxfId="284">
  <tableColumns count="2">
    <tableColumn id="1" xr3:uid="{7E470468-AF3F-40E1-8252-F8C49537D7C2}" name="Column1" dataDxfId="283"/>
    <tableColumn id="2" xr3:uid="{C5CE7544-F897-4314-9244-2BE7E55E9D29}" name="Column2" dataDxfId="28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C7CA6B-677A-40BE-AB75-6F5D9376F2E2}" name="Table8" displayName="Table8" ref="O13:P15" headerRowCount="0" totalsRowShown="0" headerRowDxfId="281" tableBorderDxfId="280" totalsRowBorderDxfId="279">
  <tableColumns count="2">
    <tableColumn id="1" xr3:uid="{5D8DFDEC-0544-4515-B25B-C9EDC136E82D}" name="Column1" dataDxfId="278"/>
    <tableColumn id="2" xr3:uid="{594FB166-7126-49D5-A066-1F143DFB7A4C}" name="Column2" dataDxfId="2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8E5A67-ED91-4A47-B50C-2330CF73AAB8}" name="Table9" displayName="Table9" ref="C4:F14" totalsRowShown="0" headerRowDxfId="276" dataDxfId="274" headerRowBorderDxfId="275" tableBorderDxfId="273" totalsRowBorderDxfId="272">
  <autoFilter ref="C4:F14" xr:uid="{958E5A67-ED91-4A47-B50C-2330CF73AAB8}">
    <filterColumn colId="0" hiddenButton="1"/>
    <filterColumn colId="1" hiddenButton="1"/>
    <filterColumn colId="2" hiddenButton="1"/>
    <filterColumn colId="3" hiddenButton="1"/>
  </autoFilter>
  <tableColumns count="4">
    <tableColumn id="1" xr3:uid="{401F7FAE-F3BA-45FC-A24F-AE81CE1E7A13}" name="Employee" dataDxfId="271"/>
    <tableColumn id="2" xr3:uid="{36DA2640-7630-4104-BF71-EE39EA442C02}" name="Department" dataDxfId="270"/>
    <tableColumn id="3" xr3:uid="{5BED245C-5232-49D3-B1E6-2907C3D35E3D}" name="Salary" dataDxfId="269" dataCellStyle="Currency"/>
    <tableColumn id="4" xr3:uid="{7288007D-C467-492F-B847-3D67D0CAB577}" name="Rating" dataDxfId="2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C78044-BEE5-4AD5-A278-8EC6D04C07F9}" name="Table10" displayName="Table10" ref="H4:I13" headerRowCount="0" totalsRowShown="0" headerRowDxfId="267" dataDxfId="266" tableBorderDxfId="265" totalsRowBorderDxfId="264">
  <tableColumns count="2">
    <tableColumn id="1" xr3:uid="{2B3976C4-6368-4059-9D10-564152B6CE1F}" name="Column1" dataDxfId="263"/>
    <tableColumn id="2" xr3:uid="{FAF47574-3173-4343-82FD-37EDC7AE9ED3}" name="Column2" dataDxfId="26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4B3580-170E-422B-92FC-6824E5C5993F}" name="Table2" displayName="Table2" ref="C3:I18" totalsRowShown="0" headerRowDxfId="229" dataDxfId="243">
  <sortState xmlns:xlrd2="http://schemas.microsoft.com/office/spreadsheetml/2017/richdata2" ref="C4:G18">
    <sortCondition descending="1" ref="F3:F18"/>
  </sortState>
  <tableColumns count="7">
    <tableColumn id="1" xr3:uid="{F986F937-6098-4081-92F2-FA0CCF2FE8C1}" name="Employee ID" dataDxfId="242"/>
    <tableColumn id="2" xr3:uid="{011D2B0F-BCB3-4B60-942D-E1C3E0CD9E51}" name="Name" dataDxfId="241"/>
    <tableColumn id="3" xr3:uid="{0CB1B7F5-E40E-4AFF-BBE0-95E81D77E3D8}" name="Department" dataDxfId="240"/>
    <tableColumn id="4" xr3:uid="{8D6BB122-2086-4BB3-851D-570EA9941FC4}" name="Salary ($)" dataDxfId="239" dataCellStyle="Currency"/>
    <tableColumn id="5" xr3:uid="{2135B347-70C3-4BB8-945D-305AA42E91E5}" name="Years of Service" dataDxfId="238"/>
    <tableColumn id="6" xr3:uid="{5D20B53F-E7FF-4DC8-874E-84A63AAAC979}" name="Annual Salary" dataDxfId="237" dataCellStyle="Currency">
      <calculatedColumnFormula>(Table2[[#This Row],[Salary ($)]]*12)</calculatedColumnFormula>
    </tableColumn>
    <tableColumn id="7" xr3:uid="{3CFB3670-7C27-425D-B323-5C8B94CAA552}" name="Bonus" dataDxfId="236" dataCellStyle="Currency">
      <calculatedColumnFormula>0.1*Table2[[#This Row],[Annual Salary]]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E75C1-33C9-4303-9B05-3DDF7D37071F}" name="Table5" displayName="Table5" ref="D20:E24" headerRowCount="0" totalsRowShown="0" headerRowDxfId="228" headerRowBorderDxfId="226" tableBorderDxfId="227" totalsRowBorderDxfId="225">
  <tableColumns count="2">
    <tableColumn id="1" xr3:uid="{7CFF0C7F-1CD8-4133-BD40-811BDF479BD0}" name="Column1" headerRowDxfId="261" dataDxfId="224"/>
    <tableColumn id="2" xr3:uid="{35EA8552-4A47-4350-848D-454DAB931BE0}" name="Column2" headerRowDxfId="260" dataDxfId="223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0112FD-3ADB-4E6F-B768-A43456712B27}" name="Table6" displayName="Table6" ref="C4:F9" totalsRowShown="0" headerRowDxfId="259" headerRowBorderDxfId="258" tableBorderDxfId="257" totalsRowBorderDxfId="256">
  <sortState xmlns:xlrd2="http://schemas.microsoft.com/office/spreadsheetml/2017/richdata2" ref="C5:F9">
    <sortCondition ref="F4:F9"/>
  </sortState>
  <tableColumns count="4">
    <tableColumn id="1" xr3:uid="{6742E32D-D637-4365-8DD6-0B4960E3A1ED}" name="Product" dataDxfId="255"/>
    <tableColumn id="2" xr3:uid="{B72D37E0-9489-42BB-BE40-9E053C1FC952}" name="Units Sold" dataDxfId="254"/>
    <tableColumn id="3" xr3:uid="{AF248533-016F-4BE1-B886-FB37FAF34CCE}" name="Unit Price" dataDxfId="253" dataCellStyle="Currency"/>
    <tableColumn id="4" xr3:uid="{5BBA63B5-EB50-4396-9E39-2319B5A711BD}" name="Revenue" dataDxfId="252" dataCellStyle="Currency">
      <calculatedColumnFormula>PRODUCT(Table6[[#This Row],[Units Sold]:[Unit Price]])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87681F-8974-40E9-B013-5D9AAE7E960E}" name="Table7" displayName="Table7" ref="D12:E15" headerRowCount="0" totalsRowShown="0" headerRowDxfId="251" headerRowBorderDxfId="250" tableBorderDxfId="249" totalsRowBorderDxfId="248">
  <tableColumns count="2">
    <tableColumn id="1" xr3:uid="{E6620D73-456A-4B6E-B462-BC521305F0DB}" name="Column1" headerRowDxfId="247" dataDxfId="246"/>
    <tableColumn id="2" xr3:uid="{632B9040-5E37-4CE5-964B-C296F9C185C8}" name="Column2" headerRowDxfId="245" dataDxfId="244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9F85-B0E8-4381-B09D-208F58D46C6D}">
  <dimension ref="D4:P15"/>
  <sheetViews>
    <sheetView showGridLines="0" topLeftCell="B1" workbookViewId="0">
      <selection activeCell="H18" sqref="H18"/>
    </sheetView>
  </sheetViews>
  <sheetFormatPr defaultRowHeight="15" x14ac:dyDescent="0.25"/>
  <cols>
    <col min="4" max="4" width="15.140625" customWidth="1"/>
    <col min="5" max="5" width="10.85546875" bestFit="1" customWidth="1"/>
    <col min="6" max="6" width="10.5703125" bestFit="1" customWidth="1"/>
    <col min="7" max="7" width="10" bestFit="1" customWidth="1"/>
    <col min="8" max="8" width="12.140625" bestFit="1" customWidth="1"/>
    <col min="9" max="9" width="12.7109375" bestFit="1" customWidth="1"/>
    <col min="11" max="11" width="11.5703125" bestFit="1" customWidth="1"/>
    <col min="12" max="12" width="8" bestFit="1" customWidth="1"/>
    <col min="14" max="14" width="3.28515625" customWidth="1"/>
    <col min="15" max="15" width="29.140625" bestFit="1" customWidth="1"/>
    <col min="16" max="16" width="11.28515625" customWidth="1"/>
  </cols>
  <sheetData>
    <row r="4" spans="4:16" ht="18.75" x14ac:dyDescent="0.25">
      <c r="D4" s="61" t="s">
        <v>119</v>
      </c>
      <c r="E4" s="61"/>
      <c r="F4" s="61"/>
      <c r="G4" s="61"/>
      <c r="H4" s="61"/>
      <c r="I4" s="61"/>
      <c r="J4" s="61"/>
      <c r="K4" s="61"/>
      <c r="L4" s="61"/>
      <c r="M4" s="61"/>
    </row>
    <row r="5" spans="4:16" ht="30" x14ac:dyDescent="0.25">
      <c r="D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  <c r="J5" s="2" t="s">
        <v>43</v>
      </c>
      <c r="K5" s="2" t="s">
        <v>44</v>
      </c>
      <c r="L5" s="2" t="s">
        <v>45</v>
      </c>
      <c r="M5" s="2" t="s">
        <v>46</v>
      </c>
      <c r="O5" s="25" t="s">
        <v>68</v>
      </c>
      <c r="P5" s="12">
        <f>COUNTIF(Table1[Class], "Grade 5")</f>
        <v>5</v>
      </c>
    </row>
    <row r="6" spans="4:16" x14ac:dyDescent="0.25">
      <c r="D6" s="4">
        <v>1001</v>
      </c>
      <c r="E6" s="5" t="s">
        <v>6</v>
      </c>
      <c r="F6" s="5" t="s">
        <v>7</v>
      </c>
      <c r="G6" s="5">
        <v>85</v>
      </c>
      <c r="H6" s="5">
        <v>78</v>
      </c>
      <c r="I6" s="6">
        <v>90</v>
      </c>
      <c r="J6" s="14">
        <f>SUM(Table1[[#This Row],[Math]:[Science]])</f>
        <v>253</v>
      </c>
      <c r="K6" s="15">
        <f>AVERAGE(Table1[[#This Row],[Math]:[Science]])</f>
        <v>84.333333333333329</v>
      </c>
      <c r="L6" s="5">
        <f>MAX(Table1[[#This Row],[Math]:[Science]])</f>
        <v>90</v>
      </c>
      <c r="M6" s="5">
        <f>MIN(Table1[[#This Row],[Math]:[Science]])</f>
        <v>78</v>
      </c>
      <c r="O6" s="17" t="s">
        <v>69</v>
      </c>
      <c r="P6" s="22">
        <f>COUNTIF(Table1[[#All],[Class]], "Grade 6")</f>
        <v>5</v>
      </c>
    </row>
    <row r="7" spans="4:16" x14ac:dyDescent="0.25">
      <c r="D7" s="4">
        <v>1002</v>
      </c>
      <c r="E7" s="5" t="s">
        <v>8</v>
      </c>
      <c r="F7" s="5" t="s">
        <v>7</v>
      </c>
      <c r="G7" s="5">
        <v>72</v>
      </c>
      <c r="H7" s="5">
        <v>91</v>
      </c>
      <c r="I7" s="6">
        <v>88</v>
      </c>
      <c r="J7" s="14">
        <f>SUM(Table1[[#This Row],[Math]:[Science]])</f>
        <v>251</v>
      </c>
      <c r="K7" s="15">
        <f>AVERAGE(Table1[[#This Row],[Math]:[Science]])</f>
        <v>83.666666666666671</v>
      </c>
      <c r="L7" s="5">
        <f>MAX(Table1[[#This Row],[Math]:[Science]])</f>
        <v>91</v>
      </c>
      <c r="M7" s="5">
        <f>MIN(Table1[[#This Row],[Math]:[Science]])</f>
        <v>72</v>
      </c>
      <c r="O7" s="11" t="s">
        <v>70</v>
      </c>
      <c r="P7" s="10">
        <f>COUNTIF(Table1[Math], "&gt;85")</f>
        <v>4</v>
      </c>
    </row>
    <row r="8" spans="4:16" x14ac:dyDescent="0.25">
      <c r="D8" s="4">
        <v>1003</v>
      </c>
      <c r="E8" s="5" t="s">
        <v>9</v>
      </c>
      <c r="F8" s="5" t="s">
        <v>10</v>
      </c>
      <c r="G8" s="5">
        <v>95</v>
      </c>
      <c r="H8" s="5">
        <v>82</v>
      </c>
      <c r="I8" s="6">
        <v>87</v>
      </c>
      <c r="J8" s="14">
        <f>SUM(Table1[[#This Row],[Math]:[Science]])</f>
        <v>264</v>
      </c>
      <c r="K8" s="15">
        <f>AVERAGE(Table1[[#This Row],[Math]:[Science]])</f>
        <v>88</v>
      </c>
      <c r="L8" s="5">
        <f>MAX(Table1[[#This Row],[Math]:[Science]])</f>
        <v>95</v>
      </c>
      <c r="M8" s="5">
        <f>MIN(Table1[[#This Row],[Math]:[Science]])</f>
        <v>82</v>
      </c>
    </row>
    <row r="9" spans="4:16" x14ac:dyDescent="0.25">
      <c r="D9" s="4">
        <v>1004</v>
      </c>
      <c r="E9" s="5" t="s">
        <v>11</v>
      </c>
      <c r="F9" s="5" t="s">
        <v>10</v>
      </c>
      <c r="G9" s="5">
        <v>80</v>
      </c>
      <c r="H9" s="5">
        <v>84</v>
      </c>
      <c r="I9" s="6">
        <v>76</v>
      </c>
      <c r="J9" s="14">
        <f>SUM(Table1[[#This Row],[Math]:[Science]])</f>
        <v>240</v>
      </c>
      <c r="K9" s="15">
        <f>AVERAGE(Table1[[#This Row],[Math]:[Science]])</f>
        <v>80</v>
      </c>
      <c r="L9" s="5">
        <f>MAX(Table1[[#This Row],[Math]:[Science]])</f>
        <v>84</v>
      </c>
      <c r="M9" s="5">
        <f>MIN(Table1[[#This Row],[Math]:[Science]])</f>
        <v>76</v>
      </c>
      <c r="O9" s="25" t="s">
        <v>71</v>
      </c>
      <c r="P9" s="12">
        <f>SUMIF(Table1[Class], "Grade 5", Table1[Math])</f>
        <v>444</v>
      </c>
    </row>
    <row r="10" spans="4:16" x14ac:dyDescent="0.25">
      <c r="D10" s="4">
        <v>1005</v>
      </c>
      <c r="E10" s="5" t="s">
        <v>12</v>
      </c>
      <c r="F10" s="5" t="s">
        <v>7</v>
      </c>
      <c r="G10" s="5">
        <v>68</v>
      </c>
      <c r="H10" s="5">
        <v>75</v>
      </c>
      <c r="I10" s="6">
        <v>81</v>
      </c>
      <c r="J10" s="14">
        <f>SUM(Table1[[#This Row],[Math]:[Science]])</f>
        <v>224</v>
      </c>
      <c r="K10" s="15">
        <f>AVERAGE(Table1[[#This Row],[Math]:[Science]])</f>
        <v>74.666666666666671</v>
      </c>
      <c r="L10" s="5">
        <f>MAX(Table1[[#This Row],[Math]:[Science]])</f>
        <v>81</v>
      </c>
      <c r="M10" s="5">
        <f>MIN(Table1[[#This Row],[Math]:[Science]])</f>
        <v>68</v>
      </c>
      <c r="O10" s="17" t="s">
        <v>72</v>
      </c>
      <c r="P10" s="22">
        <f>SUMIF(Table1[Class], "Grade 6", Table1[Math])</f>
        <v>385</v>
      </c>
    </row>
    <row r="11" spans="4:16" x14ac:dyDescent="0.25">
      <c r="D11" s="4">
        <v>1006</v>
      </c>
      <c r="E11" s="5" t="s">
        <v>13</v>
      </c>
      <c r="F11" s="5" t="s">
        <v>10</v>
      </c>
      <c r="G11" s="5">
        <v>90</v>
      </c>
      <c r="H11" s="5">
        <v>93</v>
      </c>
      <c r="I11" s="6">
        <v>95</v>
      </c>
      <c r="J11" s="14">
        <f>SUM(Table1[[#This Row],[Math]:[Science]])</f>
        <v>278</v>
      </c>
      <c r="K11" s="15">
        <f>AVERAGE(Table1[[#This Row],[Math]:[Science]])</f>
        <v>92.666666666666671</v>
      </c>
      <c r="L11" s="5">
        <f>MAX(Table1[[#This Row],[Math]:[Science]])</f>
        <v>95</v>
      </c>
      <c r="M11" s="5">
        <f>MIN(Table1[[#This Row],[Math]:[Science]])</f>
        <v>90</v>
      </c>
      <c r="O11" s="11" t="s">
        <v>73</v>
      </c>
      <c r="P11" s="10">
        <f>SUMIF(Table1[Class], "Grade 5", Table1[Science])</f>
        <v>440</v>
      </c>
    </row>
    <row r="12" spans="4:16" x14ac:dyDescent="0.25">
      <c r="D12" s="4">
        <v>1007</v>
      </c>
      <c r="E12" s="5" t="s">
        <v>14</v>
      </c>
      <c r="F12" s="5" t="s">
        <v>7</v>
      </c>
      <c r="G12" s="5">
        <v>77</v>
      </c>
      <c r="H12" s="5">
        <v>86</v>
      </c>
      <c r="I12" s="6">
        <v>80</v>
      </c>
      <c r="J12" s="14">
        <f>SUM(Table1[[#This Row],[Math]:[Science]])</f>
        <v>243</v>
      </c>
      <c r="K12" s="15">
        <f>AVERAGE(Table1[[#This Row],[Math]:[Science]])</f>
        <v>81</v>
      </c>
      <c r="L12" s="5">
        <f>MAX(Table1[[#This Row],[Math]:[Science]])</f>
        <v>86</v>
      </c>
      <c r="M12" s="5">
        <f>MIN(Table1[[#This Row],[Math]:[Science]])</f>
        <v>77</v>
      </c>
    </row>
    <row r="13" spans="4:16" x14ac:dyDescent="0.25">
      <c r="D13" s="4">
        <v>1008</v>
      </c>
      <c r="E13" s="5" t="s">
        <v>15</v>
      </c>
      <c r="F13" s="5" t="s">
        <v>10</v>
      </c>
      <c r="G13" s="5">
        <v>88</v>
      </c>
      <c r="H13" s="5">
        <v>89</v>
      </c>
      <c r="I13" s="6">
        <v>92</v>
      </c>
      <c r="J13" s="14">
        <f>SUM(Table1[[#This Row],[Math]:[Science]])</f>
        <v>269</v>
      </c>
      <c r="K13" s="15">
        <f>AVERAGE(Table1[[#This Row],[Math]:[Science]])</f>
        <v>89.666666666666671</v>
      </c>
      <c r="L13" s="5">
        <f>MAX(Table1[[#This Row],[Math]:[Science]])</f>
        <v>92</v>
      </c>
      <c r="M13" s="5">
        <f>MIN(Table1[[#This Row],[Math]:[Science]])</f>
        <v>88</v>
      </c>
      <c r="O13" s="25" t="s">
        <v>74</v>
      </c>
      <c r="P13" s="12">
        <f>AVERAGEIF(Table1[Class], "Grade 5", Table1[Math])</f>
        <v>88.8</v>
      </c>
    </row>
    <row r="14" spans="4:16" x14ac:dyDescent="0.25">
      <c r="D14" s="4">
        <v>1009</v>
      </c>
      <c r="E14" s="5" t="s">
        <v>16</v>
      </c>
      <c r="F14" s="5" t="s">
        <v>7</v>
      </c>
      <c r="G14" s="5">
        <v>83</v>
      </c>
      <c r="H14" s="5">
        <v>79</v>
      </c>
      <c r="I14" s="6">
        <v>84</v>
      </c>
      <c r="J14" s="14">
        <f>SUM(Table1[[#This Row],[Math]:[Science]])</f>
        <v>246</v>
      </c>
      <c r="K14" s="15">
        <f>AVERAGE(Table1[[#This Row],[Math]:[Science]])</f>
        <v>82</v>
      </c>
      <c r="L14" s="5">
        <f>MAX(Table1[[#This Row],[Math]:[Science]])</f>
        <v>84</v>
      </c>
      <c r="M14" s="5">
        <f>MIN(Table1[[#This Row],[Math]:[Science]])</f>
        <v>79</v>
      </c>
      <c r="O14" s="17" t="s">
        <v>75</v>
      </c>
      <c r="P14" s="22">
        <f>AVERAGEIF(Table1[Class], "Grade 6", Table1[Math])</f>
        <v>77</v>
      </c>
    </row>
    <row r="15" spans="4:16" x14ac:dyDescent="0.25">
      <c r="D15" s="7">
        <v>1010</v>
      </c>
      <c r="E15" s="8" t="s">
        <v>17</v>
      </c>
      <c r="F15" s="8" t="s">
        <v>10</v>
      </c>
      <c r="G15" s="8">
        <v>91</v>
      </c>
      <c r="H15" s="8">
        <v>87</v>
      </c>
      <c r="I15" s="9">
        <v>90</v>
      </c>
      <c r="J15" s="14">
        <f>SUM(Table1[[#This Row],[Math]:[Science]])</f>
        <v>268</v>
      </c>
      <c r="K15" s="15">
        <f>AVERAGE(Table1[[#This Row],[Math]:[Science]])</f>
        <v>89.333333333333329</v>
      </c>
      <c r="L15" s="5">
        <f>MAX(Table1[[#This Row],[Math]:[Science]])</f>
        <v>91</v>
      </c>
      <c r="M15" s="5">
        <f>MIN(Table1[[#This Row],[Math]:[Science]])</f>
        <v>87</v>
      </c>
      <c r="O15" s="11" t="s">
        <v>76</v>
      </c>
      <c r="P15" s="10">
        <f>AVERAGEIF(Table1[Class], "Grade 6", Table1[Science])</f>
        <v>84.6</v>
      </c>
    </row>
  </sheetData>
  <mergeCells count="1">
    <mergeCell ref="D4:M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9BCA-4AEE-4C1E-9355-D9C40EF242C8}">
  <dimension ref="D3:I33"/>
  <sheetViews>
    <sheetView workbookViewId="0">
      <selection activeCell="H2" sqref="H2"/>
    </sheetView>
  </sheetViews>
  <sheetFormatPr defaultRowHeight="15" x14ac:dyDescent="0.25"/>
  <cols>
    <col min="4" max="4" width="17.140625" customWidth="1"/>
    <col min="5" max="5" width="26.140625" customWidth="1"/>
    <col min="6" max="6" width="16" customWidth="1"/>
    <col min="7" max="7" width="12.85546875" customWidth="1"/>
    <col min="8" max="8" width="16" bestFit="1" customWidth="1"/>
    <col min="9" max="9" width="13.85546875" customWidth="1"/>
  </cols>
  <sheetData>
    <row r="3" spans="4:9" x14ac:dyDescent="0.25">
      <c r="D3" s="46" t="s">
        <v>110</v>
      </c>
      <c r="E3" s="46"/>
      <c r="F3" s="46"/>
      <c r="G3" s="46"/>
      <c r="H3" s="46"/>
      <c r="I3" s="46"/>
    </row>
    <row r="4" spans="4:9" ht="30" x14ac:dyDescent="0.25">
      <c r="D4" s="39" t="s">
        <v>18</v>
      </c>
      <c r="E4" s="39" t="s">
        <v>93</v>
      </c>
      <c r="F4" s="39" t="s">
        <v>19</v>
      </c>
      <c r="G4" s="39" t="s">
        <v>78</v>
      </c>
      <c r="H4" s="39" t="s">
        <v>104</v>
      </c>
      <c r="I4" s="44" t="s">
        <v>105</v>
      </c>
    </row>
    <row r="5" spans="4:9" x14ac:dyDescent="0.25">
      <c r="D5" s="5">
        <v>1001</v>
      </c>
      <c r="E5" s="43" t="s">
        <v>94</v>
      </c>
      <c r="F5" s="5" t="s">
        <v>95</v>
      </c>
      <c r="G5" s="5">
        <v>6000</v>
      </c>
      <c r="H5" s="42" t="str" cm="1">
        <f t="array" ref="H5:H13">PROPER(TRIM(E5:E13))</f>
        <v>John Smith</v>
      </c>
      <c r="I5" s="40" t="str" cm="1">
        <f t="array" ref="I5:I13">UPPER(TRIM(F5:F13))</f>
        <v>HR</v>
      </c>
    </row>
    <row r="6" spans="4:9" x14ac:dyDescent="0.25">
      <c r="D6" s="5">
        <v>1002</v>
      </c>
      <c r="E6" s="43" t="s">
        <v>96</v>
      </c>
      <c r="F6" s="5" t="s">
        <v>81</v>
      </c>
      <c r="G6" s="5">
        <v>8500</v>
      </c>
      <c r="H6" s="42" t="str">
        <v>Mary Jones</v>
      </c>
      <c r="I6" s="40" t="str">
        <v>IT</v>
      </c>
    </row>
    <row r="7" spans="4:9" x14ac:dyDescent="0.25">
      <c r="D7" s="5">
        <v>1003</v>
      </c>
      <c r="E7" s="43" t="s">
        <v>97</v>
      </c>
      <c r="F7" s="5" t="s">
        <v>37</v>
      </c>
      <c r="G7" s="5">
        <v>7200</v>
      </c>
      <c r="H7" s="42" t="str">
        <v>David Brown</v>
      </c>
      <c r="I7" s="40" t="str">
        <v>FINANCE</v>
      </c>
    </row>
    <row r="8" spans="4:9" x14ac:dyDescent="0.25">
      <c r="D8" s="5">
        <v>1004</v>
      </c>
      <c r="E8" s="43" t="s">
        <v>98</v>
      </c>
      <c r="F8" s="5" t="s">
        <v>95</v>
      </c>
      <c r="G8" s="5">
        <v>6100</v>
      </c>
      <c r="H8" s="42" t="str">
        <v>Sarah Johnson</v>
      </c>
      <c r="I8" s="40" t="str">
        <v>HR</v>
      </c>
    </row>
    <row r="9" spans="4:9" x14ac:dyDescent="0.25">
      <c r="D9" s="5">
        <v>1005</v>
      </c>
      <c r="E9" s="43" t="s">
        <v>99</v>
      </c>
      <c r="F9" s="5" t="s">
        <v>81</v>
      </c>
      <c r="G9" s="5">
        <v>9000</v>
      </c>
      <c r="H9" s="42" t="str">
        <v>Grace Wilson</v>
      </c>
      <c r="I9" s="40" t="str">
        <v>IT</v>
      </c>
    </row>
    <row r="10" spans="4:9" x14ac:dyDescent="0.25">
      <c r="D10" s="5">
        <v>1006</v>
      </c>
      <c r="E10" s="43" t="s">
        <v>100</v>
      </c>
      <c r="F10" s="5" t="s">
        <v>37</v>
      </c>
      <c r="G10" s="41">
        <v>7000</v>
      </c>
      <c r="H10" s="42" t="str">
        <v>Peter Adams</v>
      </c>
      <c r="I10" s="40" t="str">
        <v>FINANCE</v>
      </c>
    </row>
    <row r="11" spans="4:9" x14ac:dyDescent="0.25">
      <c r="D11" s="5">
        <v>1007</v>
      </c>
      <c r="E11" s="43" t="s">
        <v>101</v>
      </c>
      <c r="F11" s="5" t="s">
        <v>80</v>
      </c>
      <c r="G11" s="5">
        <v>5800</v>
      </c>
      <c r="H11" s="42" t="str">
        <v>Ruth White</v>
      </c>
      <c r="I11" s="40" t="str">
        <v>HR</v>
      </c>
    </row>
    <row r="12" spans="4:9" x14ac:dyDescent="0.25">
      <c r="D12" s="5">
        <v>1008</v>
      </c>
      <c r="E12" s="43" t="s">
        <v>102</v>
      </c>
      <c r="F12" s="5" t="s">
        <v>37</v>
      </c>
      <c r="G12" s="5">
        <v>7600</v>
      </c>
      <c r="H12" s="42" t="str">
        <v>Daniel Green</v>
      </c>
      <c r="I12" s="40" t="str">
        <v>FINANCE</v>
      </c>
    </row>
    <row r="13" spans="4:9" x14ac:dyDescent="0.25">
      <c r="D13" s="5">
        <v>1009</v>
      </c>
      <c r="E13" s="43" t="s">
        <v>103</v>
      </c>
      <c r="F13" s="5" t="s">
        <v>81</v>
      </c>
      <c r="G13" s="5">
        <v>8300</v>
      </c>
      <c r="H13" s="42" t="str">
        <v>Esther Black</v>
      </c>
      <c r="I13" s="40" t="str">
        <v>IT</v>
      </c>
    </row>
    <row r="16" spans="4:9" x14ac:dyDescent="0.25">
      <c r="D16" s="46" t="s">
        <v>109</v>
      </c>
      <c r="E16" s="46"/>
      <c r="F16" s="46"/>
      <c r="G16" s="46"/>
      <c r="H16" s="46"/>
      <c r="I16" s="46"/>
    </row>
    <row r="17" spans="4:9" ht="30" x14ac:dyDescent="0.25">
      <c r="D17" s="39" t="s">
        <v>18</v>
      </c>
      <c r="E17" s="39" t="s">
        <v>93</v>
      </c>
      <c r="F17" s="39" t="s">
        <v>19</v>
      </c>
      <c r="G17" s="39" t="s">
        <v>78</v>
      </c>
      <c r="H17" s="39" t="s">
        <v>104</v>
      </c>
      <c r="I17" s="44" t="s">
        <v>105</v>
      </c>
    </row>
    <row r="18" spans="4:9" x14ac:dyDescent="0.25">
      <c r="D18" s="5">
        <v>1002</v>
      </c>
      <c r="E18" s="43" t="s">
        <v>96</v>
      </c>
      <c r="F18" s="5" t="s">
        <v>81</v>
      </c>
      <c r="G18" s="5">
        <v>8500</v>
      </c>
      <c r="H18" s="42" t="s">
        <v>96</v>
      </c>
      <c r="I18" s="40" t="s">
        <v>81</v>
      </c>
    </row>
    <row r="19" spans="4:9" x14ac:dyDescent="0.25">
      <c r="D19" s="5">
        <v>1005</v>
      </c>
      <c r="E19" s="43" t="s">
        <v>99</v>
      </c>
      <c r="F19" s="5" t="s">
        <v>81</v>
      </c>
      <c r="G19" s="5">
        <v>9000</v>
      </c>
      <c r="H19" s="42" t="s">
        <v>99</v>
      </c>
      <c r="I19" s="40" t="s">
        <v>81</v>
      </c>
    </row>
    <row r="20" spans="4:9" x14ac:dyDescent="0.25">
      <c r="D20" s="5">
        <v>1009</v>
      </c>
      <c r="E20" s="43" t="s">
        <v>103</v>
      </c>
      <c r="F20" s="5" t="s">
        <v>81</v>
      </c>
      <c r="G20" s="5">
        <v>8300</v>
      </c>
      <c r="H20" s="42" t="s">
        <v>103</v>
      </c>
      <c r="I20" s="40" t="s">
        <v>81</v>
      </c>
    </row>
    <row r="21" spans="4:9" x14ac:dyDescent="0.25">
      <c r="D21" s="47"/>
      <c r="E21" s="48"/>
      <c r="F21" s="47"/>
      <c r="G21" s="47"/>
      <c r="H21" s="49"/>
      <c r="I21" s="50"/>
    </row>
    <row r="22" spans="4:9" x14ac:dyDescent="0.25">
      <c r="D22" s="46" t="s">
        <v>108</v>
      </c>
      <c r="E22" s="46"/>
      <c r="F22" s="46"/>
      <c r="G22" s="46"/>
      <c r="H22" s="46"/>
      <c r="I22" s="46"/>
    </row>
    <row r="23" spans="4:9" ht="30" x14ac:dyDescent="0.25">
      <c r="D23" s="39" t="s">
        <v>18</v>
      </c>
      <c r="E23" s="39" t="s">
        <v>93</v>
      </c>
      <c r="F23" s="39" t="s">
        <v>19</v>
      </c>
      <c r="G23" s="39" t="s">
        <v>78</v>
      </c>
      <c r="H23" s="39" t="s">
        <v>104</v>
      </c>
      <c r="I23" s="44" t="s">
        <v>105</v>
      </c>
    </row>
    <row r="24" spans="4:9" x14ac:dyDescent="0.25">
      <c r="D24" s="5">
        <v>1002</v>
      </c>
      <c r="E24" s="43" t="s">
        <v>96</v>
      </c>
      <c r="F24" s="5" t="s">
        <v>81</v>
      </c>
      <c r="G24" s="5">
        <v>8500</v>
      </c>
      <c r="H24" s="42" t="s">
        <v>96</v>
      </c>
      <c r="I24" s="40" t="s">
        <v>81</v>
      </c>
    </row>
    <row r="25" spans="4:9" x14ac:dyDescent="0.25">
      <c r="D25" s="5">
        <v>1005</v>
      </c>
      <c r="E25" s="43" t="s">
        <v>99</v>
      </c>
      <c r="F25" s="5" t="s">
        <v>81</v>
      </c>
      <c r="G25" s="5">
        <v>9000</v>
      </c>
      <c r="H25" s="42" t="s">
        <v>99</v>
      </c>
      <c r="I25" s="40" t="s">
        <v>81</v>
      </c>
    </row>
    <row r="26" spans="4:9" x14ac:dyDescent="0.25">
      <c r="D26" s="5">
        <v>1009</v>
      </c>
      <c r="E26" s="43" t="s">
        <v>103</v>
      </c>
      <c r="F26" s="5" t="s">
        <v>81</v>
      </c>
      <c r="G26" s="5">
        <v>8300</v>
      </c>
      <c r="H26" s="42" t="s">
        <v>103</v>
      </c>
      <c r="I26" s="40" t="s">
        <v>81</v>
      </c>
    </row>
    <row r="29" spans="4:9" x14ac:dyDescent="0.25">
      <c r="D29" s="46" t="s">
        <v>106</v>
      </c>
      <c r="E29" s="46"/>
      <c r="F29" s="46"/>
      <c r="G29" s="46"/>
      <c r="H29" s="46"/>
      <c r="I29" s="46"/>
    </row>
    <row r="30" spans="4:9" ht="30" x14ac:dyDescent="0.25">
      <c r="D30" s="39" t="s">
        <v>18</v>
      </c>
      <c r="E30" s="39" t="s">
        <v>93</v>
      </c>
      <c r="F30" s="39" t="s">
        <v>19</v>
      </c>
      <c r="G30" s="39" t="s">
        <v>78</v>
      </c>
      <c r="H30" s="39" t="s">
        <v>104</v>
      </c>
      <c r="I30" s="44" t="s">
        <v>105</v>
      </c>
    </row>
    <row r="31" spans="4:9" x14ac:dyDescent="0.25">
      <c r="D31" s="5">
        <v>1003</v>
      </c>
      <c r="E31" s="43" t="s">
        <v>97</v>
      </c>
      <c r="F31" s="5" t="s">
        <v>37</v>
      </c>
      <c r="G31" s="5">
        <v>7200</v>
      </c>
      <c r="H31" s="42" t="s">
        <v>97</v>
      </c>
      <c r="I31" s="40" t="s">
        <v>107</v>
      </c>
    </row>
    <row r="32" spans="4:9" x14ac:dyDescent="0.25">
      <c r="D32" s="5">
        <v>1006</v>
      </c>
      <c r="E32" s="43" t="s">
        <v>100</v>
      </c>
      <c r="F32" s="5" t="s">
        <v>37</v>
      </c>
      <c r="G32" s="41">
        <v>7000</v>
      </c>
      <c r="H32" s="42" t="s">
        <v>100</v>
      </c>
      <c r="I32" s="40" t="s">
        <v>107</v>
      </c>
    </row>
    <row r="33" spans="4:9" x14ac:dyDescent="0.25">
      <c r="D33" s="5">
        <v>1008</v>
      </c>
      <c r="E33" s="43" t="s">
        <v>102</v>
      </c>
      <c r="F33" s="5" t="s">
        <v>37</v>
      </c>
      <c r="G33" s="5">
        <v>7600</v>
      </c>
      <c r="H33" s="42" t="s">
        <v>102</v>
      </c>
      <c r="I33" s="40" t="s">
        <v>107</v>
      </c>
    </row>
  </sheetData>
  <autoFilter ref="D4:I13" xr:uid="{05769BCA-4AEE-4C1E-9355-D9C40EF242C8}"/>
  <mergeCells count="4">
    <mergeCell ref="D29:I29"/>
    <mergeCell ref="D22:I22"/>
    <mergeCell ref="D16:I16"/>
    <mergeCell ref="D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FDA0-189E-4D6B-BA32-3E8E25AC8CFA}">
  <dimension ref="C3:L19"/>
  <sheetViews>
    <sheetView topLeftCell="A3" workbookViewId="0">
      <selection activeCell="K4" sqref="K4"/>
    </sheetView>
  </sheetViews>
  <sheetFormatPr defaultRowHeight="15" x14ac:dyDescent="0.25"/>
  <cols>
    <col min="3" max="3" width="12.140625" customWidth="1"/>
    <col min="4" max="4" width="14" customWidth="1"/>
    <col min="5" max="5" width="10" bestFit="1" customWidth="1"/>
    <col min="7" max="7" width="9.140625" customWidth="1"/>
    <col min="8" max="8" width="25.7109375" bestFit="1" customWidth="1"/>
    <col min="11" max="12" width="14.140625" bestFit="1" customWidth="1"/>
    <col min="14" max="14" width="42.85546875" bestFit="1" customWidth="1"/>
    <col min="15" max="15" width="12.7109375" customWidth="1"/>
  </cols>
  <sheetData>
    <row r="3" spans="3:12" ht="18.75" x14ac:dyDescent="0.25">
      <c r="C3" s="61" t="s">
        <v>120</v>
      </c>
      <c r="D3" s="61"/>
      <c r="E3" s="61"/>
      <c r="F3" s="61"/>
    </row>
    <row r="4" spans="3:12" x14ac:dyDescent="0.25">
      <c r="C4" s="1" t="s">
        <v>77</v>
      </c>
      <c r="D4" s="2" t="s">
        <v>19</v>
      </c>
      <c r="E4" s="2" t="s">
        <v>78</v>
      </c>
      <c r="F4" s="3" t="s">
        <v>79</v>
      </c>
      <c r="H4" s="26" t="s">
        <v>82</v>
      </c>
      <c r="I4" s="27">
        <f>COUNTIF(Table9[Department], "HR")</f>
        <v>4</v>
      </c>
      <c r="K4" s="55" t="s">
        <v>19</v>
      </c>
      <c r="L4" t="s">
        <v>50</v>
      </c>
    </row>
    <row r="5" spans="3:12" x14ac:dyDescent="0.25">
      <c r="C5" s="4" t="s">
        <v>6</v>
      </c>
      <c r="D5" s="5" t="s">
        <v>80</v>
      </c>
      <c r="E5" s="32">
        <v>5500</v>
      </c>
      <c r="F5" s="6">
        <v>4</v>
      </c>
      <c r="H5" s="28" t="s">
        <v>83</v>
      </c>
      <c r="I5" s="29">
        <f>COUNTIF(Table9[Department], "IT")</f>
        <v>3</v>
      </c>
      <c r="K5" s="56" t="s">
        <v>37</v>
      </c>
      <c r="L5" s="57">
        <v>7233.333333333333</v>
      </c>
    </row>
    <row r="6" spans="3:12" x14ac:dyDescent="0.25">
      <c r="C6" s="4" t="s">
        <v>8</v>
      </c>
      <c r="D6" s="5" t="s">
        <v>81</v>
      </c>
      <c r="E6" s="32">
        <v>8000</v>
      </c>
      <c r="F6" s="6">
        <v>5</v>
      </c>
      <c r="H6" s="28" t="s">
        <v>84</v>
      </c>
      <c r="I6" s="51">
        <f>SUMIF(Table9[Department], "HR", Table9[Salary])</f>
        <v>23400</v>
      </c>
      <c r="K6" s="56" t="s">
        <v>80</v>
      </c>
      <c r="L6" s="57">
        <v>5850</v>
      </c>
    </row>
    <row r="7" spans="3:12" x14ac:dyDescent="0.25">
      <c r="C7" s="4" t="s">
        <v>9</v>
      </c>
      <c r="D7" s="5" t="s">
        <v>37</v>
      </c>
      <c r="E7" s="32">
        <v>7000</v>
      </c>
      <c r="F7" s="6">
        <v>3</v>
      </c>
      <c r="H7" s="28" t="s">
        <v>85</v>
      </c>
      <c r="I7" s="51">
        <f>SUMIF(Table9[Department], "IT", Table9[Salary])</f>
        <v>25500</v>
      </c>
      <c r="K7" s="56" t="s">
        <v>81</v>
      </c>
      <c r="L7" s="57">
        <v>8500</v>
      </c>
    </row>
    <row r="8" spans="3:12" x14ac:dyDescent="0.25">
      <c r="C8" s="4" t="s">
        <v>11</v>
      </c>
      <c r="D8" s="5" t="s">
        <v>80</v>
      </c>
      <c r="E8" s="32">
        <v>6000</v>
      </c>
      <c r="F8" s="6">
        <v>4</v>
      </c>
      <c r="H8" s="28" t="s">
        <v>86</v>
      </c>
      <c r="I8" s="51">
        <f>AVERAGEIF(Table9[Department], "Finance", Table9[Salary])</f>
        <v>7233.333333333333</v>
      </c>
      <c r="K8" s="56" t="s">
        <v>111</v>
      </c>
      <c r="L8" s="57">
        <v>7060</v>
      </c>
    </row>
    <row r="9" spans="3:12" x14ac:dyDescent="0.25">
      <c r="C9" s="4" t="s">
        <v>12</v>
      </c>
      <c r="D9" s="5" t="s">
        <v>81</v>
      </c>
      <c r="E9" s="32">
        <v>9000</v>
      </c>
      <c r="F9" s="6">
        <v>5</v>
      </c>
      <c r="H9" s="30" t="s">
        <v>87</v>
      </c>
      <c r="I9" s="31">
        <f>AVERAGEIF(Table9[Department], "HR", Table9[Rating])</f>
        <v>4</v>
      </c>
    </row>
    <row r="10" spans="3:12" x14ac:dyDescent="0.25">
      <c r="C10" s="4" t="s">
        <v>13</v>
      </c>
      <c r="D10" s="5" t="s">
        <v>37</v>
      </c>
      <c r="E10" s="32">
        <v>7500</v>
      </c>
      <c r="F10" s="6">
        <v>4</v>
      </c>
      <c r="H10" s="28" t="s">
        <v>89</v>
      </c>
      <c r="I10" s="51">
        <f>AVERAGEIF(Table9[Department], "HR", Table9[Salary])</f>
        <v>5850</v>
      </c>
    </row>
    <row r="11" spans="3:12" x14ac:dyDescent="0.25">
      <c r="C11" s="4" t="s">
        <v>16</v>
      </c>
      <c r="D11" s="5" t="s">
        <v>80</v>
      </c>
      <c r="E11" s="32">
        <v>5800</v>
      </c>
      <c r="F11" s="6">
        <v>3</v>
      </c>
      <c r="H11" s="30" t="s">
        <v>90</v>
      </c>
      <c r="I11" s="52">
        <f>AVERAGEIF(Table9[Department], "IT", Table9[Salary])</f>
        <v>8500</v>
      </c>
    </row>
    <row r="12" spans="3:12" x14ac:dyDescent="0.25">
      <c r="C12" s="4" t="s">
        <v>15</v>
      </c>
      <c r="D12" s="5" t="s">
        <v>81</v>
      </c>
      <c r="E12" s="32">
        <v>8500</v>
      </c>
      <c r="F12" s="6">
        <v>5</v>
      </c>
      <c r="H12" s="30" t="s">
        <v>91</v>
      </c>
      <c r="I12" s="31">
        <f>AVERAGEIF(Table9[Department], "IT", Table9[Rating])</f>
        <v>5</v>
      </c>
    </row>
    <row r="13" spans="3:12" x14ac:dyDescent="0.25">
      <c r="C13" s="4" t="s">
        <v>14</v>
      </c>
      <c r="D13" s="5" t="s">
        <v>37</v>
      </c>
      <c r="E13" s="32">
        <v>7200</v>
      </c>
      <c r="F13" s="6">
        <v>4</v>
      </c>
      <c r="H13" s="30" t="s">
        <v>92</v>
      </c>
      <c r="I13" s="35">
        <f>AVERAGEIF(Table9[Department], "Finance", Table9[Rating])</f>
        <v>3.6666666666666665</v>
      </c>
    </row>
    <row r="14" spans="3:12" x14ac:dyDescent="0.25">
      <c r="C14" s="7" t="s">
        <v>17</v>
      </c>
      <c r="D14" s="8" t="s">
        <v>80</v>
      </c>
      <c r="E14" s="33">
        <v>6100</v>
      </c>
      <c r="F14" s="9">
        <v>5</v>
      </c>
    </row>
    <row r="16" spans="3:12" x14ac:dyDescent="0.25">
      <c r="C16" s="53" t="s">
        <v>88</v>
      </c>
      <c r="D16" s="54"/>
      <c r="E16" s="54"/>
      <c r="F16" s="54"/>
    </row>
    <row r="17" spans="3:6" x14ac:dyDescent="0.25">
      <c r="C17" s="53" t="s">
        <v>112</v>
      </c>
      <c r="D17" s="54"/>
      <c r="E17" s="54"/>
      <c r="F17" s="54"/>
    </row>
    <row r="18" spans="3:6" x14ac:dyDescent="0.25">
      <c r="C18" s="53" t="s">
        <v>113</v>
      </c>
      <c r="D18" s="54"/>
      <c r="E18" s="54"/>
      <c r="F18" s="54"/>
    </row>
    <row r="19" spans="3:6" x14ac:dyDescent="0.25">
      <c r="C19" s="53" t="s">
        <v>114</v>
      </c>
      <c r="D19" s="54"/>
      <c r="E19" s="54"/>
      <c r="F19" s="54"/>
    </row>
  </sheetData>
  <mergeCells count="5">
    <mergeCell ref="C16:F16"/>
    <mergeCell ref="C17:F17"/>
    <mergeCell ref="C18:F18"/>
    <mergeCell ref="C19:F19"/>
    <mergeCell ref="C3:F3"/>
  </mergeCells>
  <pageMargins left="0.7" right="0.7" top="0.75" bottom="0.75" header="0.3" footer="0.3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D6C3-56AD-4A31-8489-5AB855999681}">
  <dimension ref="C2:L24"/>
  <sheetViews>
    <sheetView workbookViewId="0">
      <selection activeCell="K3" sqref="K3:L10"/>
    </sheetView>
  </sheetViews>
  <sheetFormatPr defaultRowHeight="15" x14ac:dyDescent="0.25"/>
  <cols>
    <col min="3" max="3" width="17" bestFit="1" customWidth="1"/>
    <col min="4" max="4" width="20.42578125" bestFit="1" customWidth="1"/>
    <col min="5" max="5" width="16.42578125" bestFit="1" customWidth="1"/>
    <col min="6" max="6" width="15.28515625" bestFit="1" customWidth="1"/>
    <col min="7" max="7" width="20.140625" bestFit="1" customWidth="1"/>
    <col min="8" max="8" width="17.7109375" bestFit="1" customWidth="1"/>
    <col min="9" max="9" width="11.140625" bestFit="1" customWidth="1"/>
    <col min="11" max="11" width="14.140625" bestFit="1" customWidth="1"/>
    <col min="12" max="12" width="20.28515625" bestFit="1" customWidth="1"/>
  </cols>
  <sheetData>
    <row r="2" spans="3:12" ht="18.75" x14ac:dyDescent="0.25">
      <c r="C2" s="64" t="s">
        <v>121</v>
      </c>
      <c r="D2" s="64"/>
      <c r="E2" s="64"/>
      <c r="F2" s="64"/>
      <c r="G2" s="64"/>
      <c r="H2" s="64"/>
      <c r="I2" s="64"/>
    </row>
    <row r="3" spans="3:12" x14ac:dyDescent="0.25">
      <c r="C3" s="62" t="s">
        <v>18</v>
      </c>
      <c r="D3" s="62" t="s">
        <v>1</v>
      </c>
      <c r="E3" s="62" t="s">
        <v>19</v>
      </c>
      <c r="F3" s="63" t="s">
        <v>42</v>
      </c>
      <c r="G3" s="62" t="s">
        <v>20</v>
      </c>
      <c r="H3" s="62" t="s">
        <v>47</v>
      </c>
      <c r="I3" s="62" t="s">
        <v>48</v>
      </c>
      <c r="K3" s="58" t="s">
        <v>19</v>
      </c>
      <c r="L3" s="40" t="s">
        <v>115</v>
      </c>
    </row>
    <row r="4" spans="3:12" x14ac:dyDescent="0.25">
      <c r="C4" s="13">
        <v>13</v>
      </c>
      <c r="D4" s="13" t="s">
        <v>22</v>
      </c>
      <c r="E4" s="13" t="s">
        <v>41</v>
      </c>
      <c r="F4" s="16">
        <v>38000</v>
      </c>
      <c r="G4" s="13">
        <v>11</v>
      </c>
      <c r="H4" s="16">
        <f>(Table2[[#This Row],[Salary ($)]]*12)</f>
        <v>456000</v>
      </c>
      <c r="I4" s="16">
        <f>0.1*Table2[[#This Row],[Annual Salary]]</f>
        <v>45600</v>
      </c>
      <c r="K4" s="42" t="s">
        <v>39</v>
      </c>
      <c r="L4" s="59">
        <v>1</v>
      </c>
    </row>
    <row r="5" spans="3:12" x14ac:dyDescent="0.25">
      <c r="C5" s="13">
        <v>5</v>
      </c>
      <c r="D5" s="13" t="s">
        <v>29</v>
      </c>
      <c r="E5" s="13" t="s">
        <v>36</v>
      </c>
      <c r="F5" s="16">
        <v>34000</v>
      </c>
      <c r="G5" s="13">
        <v>7</v>
      </c>
      <c r="H5" s="16">
        <f>(Table2[[#This Row],[Salary ($)]]*12)</f>
        <v>408000</v>
      </c>
      <c r="I5" s="16">
        <f>0.1*Table2[[#This Row],[Annual Salary]]</f>
        <v>40800</v>
      </c>
      <c r="K5" s="42" t="s">
        <v>37</v>
      </c>
      <c r="L5" s="59">
        <v>3</v>
      </c>
    </row>
    <row r="6" spans="3:12" x14ac:dyDescent="0.25">
      <c r="C6" s="13">
        <v>9</v>
      </c>
      <c r="D6" s="13" t="s">
        <v>33</v>
      </c>
      <c r="E6" s="13" t="s">
        <v>40</v>
      </c>
      <c r="F6" s="16">
        <v>30000</v>
      </c>
      <c r="G6" s="13">
        <v>8</v>
      </c>
      <c r="H6" s="16">
        <f>(Table2[[#This Row],[Salary ($)]]*12)</f>
        <v>360000</v>
      </c>
      <c r="I6" s="16">
        <f>0.1*Table2[[#This Row],[Annual Salary]]</f>
        <v>36000</v>
      </c>
      <c r="K6" s="42" t="s">
        <v>40</v>
      </c>
      <c r="L6" s="59">
        <v>4</v>
      </c>
    </row>
    <row r="7" spans="3:12" x14ac:dyDescent="0.25">
      <c r="C7" s="13">
        <v>10</v>
      </c>
      <c r="D7" s="13" t="s">
        <v>34</v>
      </c>
      <c r="E7" s="13" t="s">
        <v>40</v>
      </c>
      <c r="F7" s="16">
        <v>30000</v>
      </c>
      <c r="G7" s="13">
        <v>6</v>
      </c>
      <c r="H7" s="16">
        <f>(Table2[[#This Row],[Salary ($)]]*12)</f>
        <v>360000</v>
      </c>
      <c r="I7" s="16">
        <f>0.1*Table2[[#This Row],[Annual Salary]]</f>
        <v>36000</v>
      </c>
      <c r="K7" s="42" t="s">
        <v>38</v>
      </c>
      <c r="L7" s="59">
        <v>2</v>
      </c>
    </row>
    <row r="8" spans="3:12" x14ac:dyDescent="0.25">
      <c r="C8" s="13">
        <v>12</v>
      </c>
      <c r="D8" s="13" t="s">
        <v>21</v>
      </c>
      <c r="E8" s="13" t="s">
        <v>37</v>
      </c>
      <c r="F8" s="16">
        <v>27000</v>
      </c>
      <c r="G8" s="13">
        <v>9</v>
      </c>
      <c r="H8" s="16">
        <f>(Table2[[#This Row],[Salary ($)]]*12)</f>
        <v>324000</v>
      </c>
      <c r="I8" s="16">
        <f>0.1*Table2[[#This Row],[Annual Salary]]</f>
        <v>32400</v>
      </c>
      <c r="K8" s="42" t="s">
        <v>41</v>
      </c>
      <c r="L8" s="59">
        <v>2</v>
      </c>
    </row>
    <row r="9" spans="3:12" x14ac:dyDescent="0.25">
      <c r="C9" s="13">
        <v>4</v>
      </c>
      <c r="D9" s="13" t="s">
        <v>28</v>
      </c>
      <c r="E9" s="13" t="s">
        <v>38</v>
      </c>
      <c r="F9" s="16">
        <v>25000</v>
      </c>
      <c r="G9" s="13">
        <v>6</v>
      </c>
      <c r="H9" s="16">
        <f>(Table2[[#This Row],[Salary ($)]]*12)</f>
        <v>300000</v>
      </c>
      <c r="I9" s="16">
        <f>0.1*Table2[[#This Row],[Annual Salary]]</f>
        <v>30000</v>
      </c>
      <c r="K9" s="42" t="s">
        <v>36</v>
      </c>
      <c r="L9" s="59">
        <v>3</v>
      </c>
    </row>
    <row r="10" spans="3:12" x14ac:dyDescent="0.25">
      <c r="C10" s="13">
        <v>8</v>
      </c>
      <c r="D10" s="13" t="s">
        <v>32</v>
      </c>
      <c r="E10" s="13" t="s">
        <v>38</v>
      </c>
      <c r="F10" s="16">
        <v>25000</v>
      </c>
      <c r="G10" s="13">
        <v>6</v>
      </c>
      <c r="H10" s="16">
        <f>(Table2[[#This Row],[Salary ($)]]*12)</f>
        <v>300000</v>
      </c>
      <c r="I10" s="16">
        <f>0.1*Table2[[#This Row],[Annual Salary]]</f>
        <v>30000</v>
      </c>
      <c r="K10" s="42" t="s">
        <v>111</v>
      </c>
      <c r="L10" s="59">
        <v>15</v>
      </c>
    </row>
    <row r="11" spans="3:12" x14ac:dyDescent="0.25">
      <c r="C11" s="13">
        <v>11</v>
      </c>
      <c r="D11" s="13" t="s">
        <v>35</v>
      </c>
      <c r="E11" s="13" t="s">
        <v>40</v>
      </c>
      <c r="F11" s="16">
        <v>18000</v>
      </c>
      <c r="G11" s="13">
        <v>8</v>
      </c>
      <c r="H11" s="16">
        <f>(Table2[[#This Row],[Salary ($)]]*12)</f>
        <v>216000</v>
      </c>
      <c r="I11" s="16">
        <f>0.1*Table2[[#This Row],[Annual Salary]]</f>
        <v>21600</v>
      </c>
    </row>
    <row r="12" spans="3:12" x14ac:dyDescent="0.25">
      <c r="C12" s="13">
        <v>7</v>
      </c>
      <c r="D12" s="13" t="s">
        <v>31</v>
      </c>
      <c r="E12" s="13" t="s">
        <v>39</v>
      </c>
      <c r="F12" s="16">
        <v>15000</v>
      </c>
      <c r="G12" s="13">
        <v>4</v>
      </c>
      <c r="H12" s="16">
        <f>(Table2[[#This Row],[Salary ($)]]*12)</f>
        <v>180000</v>
      </c>
      <c r="I12" s="16">
        <f>0.1*Table2[[#This Row],[Annual Salary]]</f>
        <v>18000</v>
      </c>
    </row>
    <row r="13" spans="3:12" x14ac:dyDescent="0.25">
      <c r="C13" s="13">
        <v>14</v>
      </c>
      <c r="D13" s="13" t="s">
        <v>23</v>
      </c>
      <c r="E13" s="13" t="s">
        <v>41</v>
      </c>
      <c r="F13" s="16">
        <v>11000</v>
      </c>
      <c r="G13" s="13">
        <v>23</v>
      </c>
      <c r="H13" s="16">
        <f>(Table2[[#This Row],[Salary ($)]]*12)</f>
        <v>132000</v>
      </c>
      <c r="I13" s="16">
        <f>0.1*Table2[[#This Row],[Annual Salary]]</f>
        <v>13200</v>
      </c>
    </row>
    <row r="14" spans="3:12" x14ac:dyDescent="0.25">
      <c r="C14" s="13">
        <v>15</v>
      </c>
      <c r="D14" s="13" t="s">
        <v>24</v>
      </c>
      <c r="E14" s="13" t="s">
        <v>37</v>
      </c>
      <c r="F14" s="16">
        <v>10400</v>
      </c>
      <c r="G14" s="13">
        <v>14</v>
      </c>
      <c r="H14" s="16">
        <f>(Table2[[#This Row],[Salary ($)]]*12)</f>
        <v>124800</v>
      </c>
      <c r="I14" s="16">
        <f>0.1*Table2[[#This Row],[Annual Salary]]</f>
        <v>12480</v>
      </c>
    </row>
    <row r="15" spans="3:12" x14ac:dyDescent="0.25">
      <c r="C15" s="13">
        <v>1</v>
      </c>
      <c r="D15" s="13" t="s">
        <v>25</v>
      </c>
      <c r="E15" s="13" t="s">
        <v>36</v>
      </c>
      <c r="F15" s="16">
        <v>5000</v>
      </c>
      <c r="G15" s="13">
        <v>2</v>
      </c>
      <c r="H15" s="16">
        <f>(Table2[[#This Row],[Salary ($)]]*12)</f>
        <v>60000</v>
      </c>
      <c r="I15" s="16">
        <f>0.1*Table2[[#This Row],[Annual Salary]]</f>
        <v>6000</v>
      </c>
    </row>
    <row r="16" spans="3:12" x14ac:dyDescent="0.25">
      <c r="C16" s="13">
        <v>6</v>
      </c>
      <c r="D16" s="13" t="s">
        <v>30</v>
      </c>
      <c r="E16" s="13" t="s">
        <v>36</v>
      </c>
      <c r="F16" s="16">
        <v>4800</v>
      </c>
      <c r="G16" s="13">
        <v>2</v>
      </c>
      <c r="H16" s="16">
        <f>(Table2[[#This Row],[Salary ($)]]*12)</f>
        <v>57600</v>
      </c>
      <c r="I16" s="16">
        <f>0.1*Table2[[#This Row],[Annual Salary]]</f>
        <v>5760</v>
      </c>
    </row>
    <row r="17" spans="3:9" x14ac:dyDescent="0.25">
      <c r="C17" s="13">
        <v>2</v>
      </c>
      <c r="D17" s="13" t="s">
        <v>26</v>
      </c>
      <c r="E17" s="13" t="s">
        <v>37</v>
      </c>
      <c r="F17" s="16">
        <v>4500</v>
      </c>
      <c r="G17" s="13">
        <v>3</v>
      </c>
      <c r="H17" s="16">
        <f>(Table2[[#This Row],[Salary ($)]]*12)</f>
        <v>54000</v>
      </c>
      <c r="I17" s="16">
        <f>0.1*Table2[[#This Row],[Annual Salary]]</f>
        <v>5400</v>
      </c>
    </row>
    <row r="18" spans="3:9" x14ac:dyDescent="0.25">
      <c r="C18" s="13">
        <v>3</v>
      </c>
      <c r="D18" s="13" t="s">
        <v>27</v>
      </c>
      <c r="E18" s="13" t="s">
        <v>40</v>
      </c>
      <c r="F18" s="16">
        <v>4000</v>
      </c>
      <c r="G18" s="13">
        <v>1</v>
      </c>
      <c r="H18" s="16">
        <f>(Table2[[#This Row],[Salary ($)]]*12)</f>
        <v>48000</v>
      </c>
      <c r="I18" s="16">
        <f>0.1*Table2[[#This Row],[Annual Salary]]</f>
        <v>4800</v>
      </c>
    </row>
    <row r="20" spans="3:9" x14ac:dyDescent="0.25">
      <c r="D20" s="17" t="s">
        <v>49</v>
      </c>
      <c r="E20" s="18">
        <f>SUM(F4:F18)</f>
        <v>281700</v>
      </c>
    </row>
    <row r="21" spans="3:9" x14ac:dyDescent="0.25">
      <c r="D21" s="17" t="s">
        <v>50</v>
      </c>
      <c r="E21" s="18">
        <f>AVERAGE(F4:F18)</f>
        <v>18780</v>
      </c>
    </row>
    <row r="22" spans="3:9" x14ac:dyDescent="0.25">
      <c r="D22" s="17" t="s">
        <v>51</v>
      </c>
      <c r="E22" s="18">
        <f>MAX(F4:F18)</f>
        <v>38000</v>
      </c>
    </row>
    <row r="23" spans="3:9" x14ac:dyDescent="0.25">
      <c r="D23" s="17" t="s">
        <v>52</v>
      </c>
      <c r="E23" s="18">
        <f>MIN(F4:F18)</f>
        <v>4000</v>
      </c>
    </row>
    <row r="24" spans="3:9" x14ac:dyDescent="0.25">
      <c r="D24" s="11" t="s">
        <v>53</v>
      </c>
      <c r="E24" s="10">
        <f>COUNT(C4:C18)</f>
        <v>15</v>
      </c>
    </row>
  </sheetData>
  <mergeCells count="1">
    <mergeCell ref="C2:I2"/>
  </mergeCells>
  <pageMargins left="0.7" right="0.7" top="0.75" bottom="0.75" header="0.3" footer="0.3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3F4D-9BD9-4B32-89B7-0529587BA104}">
  <dimension ref="A1:I18"/>
  <sheetViews>
    <sheetView workbookViewId="0">
      <selection activeCell="H4" sqref="H4"/>
    </sheetView>
  </sheetViews>
  <sheetFormatPr defaultRowHeight="15" x14ac:dyDescent="0.25"/>
  <cols>
    <col min="3" max="3" width="12.5703125" bestFit="1" customWidth="1"/>
    <col min="4" max="4" width="15.7109375" bestFit="1" customWidth="1"/>
    <col min="5" max="5" width="11.28515625" customWidth="1"/>
    <col min="6" max="6" width="11.140625" customWidth="1"/>
    <col min="8" max="8" width="11.28515625" bestFit="1" customWidth="1"/>
    <col min="9" max="9" width="20.140625" bestFit="1" customWidth="1"/>
  </cols>
  <sheetData>
    <row r="1" spans="1:9" x14ac:dyDescent="0.25">
      <c r="A1" t="s">
        <v>54</v>
      </c>
    </row>
    <row r="4" spans="1:9" x14ac:dyDescent="0.25">
      <c r="C4" s="1" t="s">
        <v>55</v>
      </c>
      <c r="D4" s="2" t="s">
        <v>56</v>
      </c>
      <c r="E4" s="19" t="s">
        <v>57</v>
      </c>
      <c r="F4" s="12" t="s">
        <v>63</v>
      </c>
      <c r="H4" s="55" t="s">
        <v>55</v>
      </c>
      <c r="I4" t="s">
        <v>116</v>
      </c>
    </row>
    <row r="5" spans="1:9" x14ac:dyDescent="0.25">
      <c r="C5" s="20" t="s">
        <v>59</v>
      </c>
      <c r="D5" s="21">
        <v>40</v>
      </c>
      <c r="E5" s="36">
        <v>75</v>
      </c>
      <c r="F5" s="34">
        <f>PRODUCT(Table6[[#This Row],[Units Sold]:[Unit Price]])</f>
        <v>3000</v>
      </c>
      <c r="H5" s="56" t="s">
        <v>58</v>
      </c>
      <c r="I5" s="57">
        <v>52500</v>
      </c>
    </row>
    <row r="6" spans="1:9" x14ac:dyDescent="0.25">
      <c r="C6" s="20" t="s">
        <v>60</v>
      </c>
      <c r="D6" s="21">
        <v>25</v>
      </c>
      <c r="E6" s="36">
        <v>180</v>
      </c>
      <c r="F6" s="34">
        <f>PRODUCT(Table6[[#This Row],[Units Sold]:[Unit Price]])</f>
        <v>4500</v>
      </c>
      <c r="H6" s="56" t="s">
        <v>61</v>
      </c>
      <c r="I6" s="57">
        <v>11400</v>
      </c>
    </row>
    <row r="7" spans="1:9" x14ac:dyDescent="0.25">
      <c r="C7" s="20" t="s">
        <v>62</v>
      </c>
      <c r="D7" s="21">
        <v>8</v>
      </c>
      <c r="E7" s="36">
        <v>1200</v>
      </c>
      <c r="F7" s="34">
        <f>PRODUCT(Table6[[#This Row],[Units Sold]:[Unit Price]])</f>
        <v>9600</v>
      </c>
      <c r="H7" s="56" t="s">
        <v>62</v>
      </c>
      <c r="I7" s="57">
        <v>9600</v>
      </c>
    </row>
    <row r="8" spans="1:9" x14ac:dyDescent="0.25">
      <c r="C8" s="20" t="s">
        <v>61</v>
      </c>
      <c r="D8" s="21">
        <v>12</v>
      </c>
      <c r="E8" s="36">
        <v>950</v>
      </c>
      <c r="F8" s="34">
        <f>PRODUCT(Table6[[#This Row],[Units Sold]:[Unit Price]])</f>
        <v>11400</v>
      </c>
      <c r="H8" s="56" t="s">
        <v>60</v>
      </c>
      <c r="I8" s="57">
        <v>4500</v>
      </c>
    </row>
    <row r="9" spans="1:9" x14ac:dyDescent="0.25">
      <c r="C9" s="23" t="s">
        <v>58</v>
      </c>
      <c r="D9" s="24">
        <v>15</v>
      </c>
      <c r="E9" s="37">
        <v>3500</v>
      </c>
      <c r="F9" s="34">
        <f>PRODUCT(Table6[[#This Row],[Units Sold]:[Unit Price]])</f>
        <v>52500</v>
      </c>
      <c r="H9" s="56" t="s">
        <v>59</v>
      </c>
      <c r="I9" s="57">
        <v>3000</v>
      </c>
    </row>
    <row r="10" spans="1:9" x14ac:dyDescent="0.25">
      <c r="H10" s="56" t="s">
        <v>111</v>
      </c>
      <c r="I10" s="57">
        <v>81000</v>
      </c>
    </row>
    <row r="12" spans="1:9" x14ac:dyDescent="0.25">
      <c r="D12" s="17" t="s">
        <v>64</v>
      </c>
      <c r="E12" s="34">
        <f>SUM(Table6[Revenue])</f>
        <v>81000</v>
      </c>
    </row>
    <row r="13" spans="1:9" x14ac:dyDescent="0.25">
      <c r="D13" s="17" t="s">
        <v>67</v>
      </c>
      <c r="E13" s="34">
        <f>AVERAGE(Table6[Revenue])</f>
        <v>16200</v>
      </c>
    </row>
    <row r="14" spans="1:9" x14ac:dyDescent="0.25">
      <c r="D14" s="17" t="s">
        <v>65</v>
      </c>
      <c r="E14" s="34">
        <f>MAX(Table6[Revenue])</f>
        <v>52500</v>
      </c>
    </row>
    <row r="15" spans="1:9" x14ac:dyDescent="0.25">
      <c r="D15" s="11" t="s">
        <v>66</v>
      </c>
      <c r="E15" s="38">
        <f>MIN(Table6[Revenue])</f>
        <v>3000</v>
      </c>
    </row>
    <row r="17" spans="4:6" x14ac:dyDescent="0.25">
      <c r="D17" s="45" t="s">
        <v>118</v>
      </c>
      <c r="E17" s="45"/>
      <c r="F17" s="45"/>
    </row>
    <row r="18" spans="4:6" x14ac:dyDescent="0.25">
      <c r="D18" s="60" t="s">
        <v>117</v>
      </c>
      <c r="E18" s="60"/>
      <c r="F18" s="60"/>
    </row>
  </sheetData>
  <mergeCells count="2">
    <mergeCell ref="D18:F18"/>
    <mergeCell ref="D17:F17"/>
  </mergeCells>
  <phoneticPr fontId="3" type="noConversion"/>
  <pageMargins left="0.7" right="0.7" top="0.75" bottom="0.75" header="0.3" footer="0.3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EA0B-FC92-405F-8ADC-816CCDC8B13B}">
  <dimension ref="C2:S3"/>
  <sheetViews>
    <sheetView tabSelected="1" topLeftCell="A21" zoomScale="95" zoomScaleNormal="95" workbookViewId="0">
      <selection activeCell="V34" sqref="V34"/>
    </sheetView>
  </sheetViews>
  <sheetFormatPr defaultRowHeight="15" x14ac:dyDescent="0.25"/>
  <cols>
    <col min="11" max="11" width="2.42578125" customWidth="1"/>
  </cols>
  <sheetData>
    <row r="2" spans="3:19" x14ac:dyDescent="0.25">
      <c r="C2" s="65" t="s">
        <v>122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3:19" x14ac:dyDescent="0.25"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</row>
  </sheetData>
  <mergeCells count="1">
    <mergeCell ref="C2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Performance</vt:lpstr>
      <vt:lpstr>Data Cleaning</vt:lpstr>
      <vt:lpstr>Employee Performance</vt:lpstr>
      <vt:lpstr>Employee Data</vt:lpstr>
      <vt:lpstr>Sales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Emmanuel Peter</cp:lastModifiedBy>
  <dcterms:created xsi:type="dcterms:W3CDTF">2026-08-01T16:26:20Z</dcterms:created>
  <dcterms:modified xsi:type="dcterms:W3CDTF">2026-08-03T22:18:03Z</dcterms:modified>
</cp:coreProperties>
</file>