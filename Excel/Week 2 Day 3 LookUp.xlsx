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75" activeTab="1"/>
  </bookViews>
  <sheets>
    <sheet name="XLOOKUP practice" sheetId="1" r:id="rId1"/>
    <sheet name="Product 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<sst xmlns="http://schemas.openxmlformats.org/spreadsheetml/2006/main" count="113" uniqueCount="76">
  <si>
    <t>Employee ID</t>
  </si>
  <si>
    <t>Employee</t>
  </si>
  <si>
    <t>Department</t>
  </si>
  <si>
    <t>Annual Salary</t>
  </si>
  <si>
    <t>Department Manager</t>
  </si>
  <si>
    <t>Manager</t>
  </si>
  <si>
    <t>E001</t>
  </si>
  <si>
    <t>John</t>
  </si>
  <si>
    <t>Sales</t>
  </si>
  <si>
    <t>Mr. Anderson</t>
  </si>
  <si>
    <t>E002</t>
  </si>
  <si>
    <t>Mary</t>
  </si>
  <si>
    <t>IT</t>
  </si>
  <si>
    <t>Ms. Williams</t>
  </si>
  <si>
    <t>E003</t>
  </si>
  <si>
    <t>David</t>
  </si>
  <si>
    <t>Finance</t>
  </si>
  <si>
    <t>Mr. Brown</t>
  </si>
  <si>
    <t>E004</t>
  </si>
  <si>
    <t>Sarah</t>
  </si>
  <si>
    <t>HR</t>
  </si>
  <si>
    <t>Mrs. Johnson</t>
  </si>
  <si>
    <t>E005</t>
  </si>
  <si>
    <t>James</t>
  </si>
  <si>
    <t>Marketing</t>
  </si>
  <si>
    <t>Mr. Davis</t>
  </si>
  <si>
    <t>E006</t>
  </si>
  <si>
    <t>Grace</t>
  </si>
  <si>
    <t>E007</t>
  </si>
  <si>
    <t>Peter</t>
  </si>
  <si>
    <t>E008</t>
  </si>
  <si>
    <t>Ruth</t>
  </si>
  <si>
    <t>E009</t>
  </si>
  <si>
    <t>Esther</t>
  </si>
  <si>
    <t>Product Master</t>
  </si>
  <si>
    <t>Sales Transaction</t>
  </si>
  <si>
    <t>Product ID</t>
  </si>
  <si>
    <t>Product</t>
  </si>
  <si>
    <t>Category</t>
  </si>
  <si>
    <t>Unit Price</t>
  </si>
  <si>
    <t>Transaction ID</t>
  </si>
  <si>
    <t>Units Sold</t>
  </si>
  <si>
    <t>Revenue</t>
  </si>
  <si>
    <t>P001</t>
  </si>
  <si>
    <t>Laptop</t>
  </si>
  <si>
    <t>Electronics</t>
  </si>
  <si>
    <t>T001</t>
  </si>
  <si>
    <t>P002</t>
  </si>
  <si>
    <t>Monitor</t>
  </si>
  <si>
    <t>T002</t>
  </si>
  <si>
    <t>P003</t>
  </si>
  <si>
    <t>Mouse</t>
  </si>
  <si>
    <t>Accessories</t>
  </si>
  <si>
    <t>T003</t>
  </si>
  <si>
    <t>P004</t>
  </si>
  <si>
    <t>Keyboard</t>
  </si>
  <si>
    <t>T004</t>
  </si>
  <si>
    <t>P005</t>
  </si>
  <si>
    <t>Printer</t>
  </si>
  <si>
    <t>Office</t>
  </si>
  <si>
    <t>T005</t>
  </si>
  <si>
    <t>P006</t>
  </si>
  <si>
    <t>Webcam</t>
  </si>
  <si>
    <t>T006</t>
  </si>
  <si>
    <t>P007</t>
  </si>
  <si>
    <t>Router</t>
  </si>
  <si>
    <t>Networking</t>
  </si>
  <si>
    <t>T007</t>
  </si>
  <si>
    <t>P008</t>
  </si>
  <si>
    <t>SSD</t>
  </si>
  <si>
    <t>Storage</t>
  </si>
  <si>
    <t>T008</t>
  </si>
  <si>
    <t>T009</t>
  </si>
  <si>
    <t>T010</t>
  </si>
  <si>
    <t>T011</t>
  </si>
  <si>
    <t>P009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</si>
</sst>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$&quot;* #,##0.00_ ;_ &quot;$&quot;* \-#,##0.00_ ;_ &quot;$&quot;* &quot;-&quot;??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NumberForma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178" fontId="0" fillId="0" borderId="1" xfId="0" applyNumberFormat="1" applyBorder="1">
      <alignment vertical="center"/>
    </xf>
    <xf numFmtId="0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 wrapText="1"/>
    </xf>
    <xf numFmtId="178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alignment wrapText="1"/>
    </dxf>
    <dxf>
      <alignment wrapText="1"/>
    </dxf>
    <dxf>
      <alignment wrapText="1"/>
    </dxf>
    <dxf>
      <numFmt numFmtId="178" formatCode="_ &quot;$&quot;* #,##0.00_ ;_ &quot;$&quot;* \-#,##0.00_ ;_ &quot;$&quot;* &quot;-&quot;??_ ;_ @_ "/>
    </dxf>
    <dxf>
      <numFmt numFmtId="0" formatCode="General"/>
    </dxf>
    <dxf>
      <alignment wrapText="1"/>
    </dxf>
    <dxf>
      <numFmt numFmtId="178" formatCode="_ &quot;$&quot;* #,##0.00_ ;_ &quot;$&quot;* \-#,##0.00_ ;_ &quot;$&quot;* &quot;-&quot;??_ ;_ @_ "/>
      <alignment horizontal="right" wrapText="1"/>
    </dxf>
    <dxf>
      <alignment wrapText="1"/>
    </dxf>
    <dxf>
      <alignment wrapText="1"/>
    </dxf>
    <dxf>
      <alignment horizontal="left" wrapText="1"/>
    </dxf>
    <dxf>
      <alignment horizontal="left" wrapText="1"/>
    </dxf>
    <dxf>
      <alignment horizontal="left" wrapText="1"/>
    </dxf>
    <dxf>
      <alignment horizontal="left" wrapText="1"/>
    </dxf>
    <dxf>
      <alignment horizontal="left" wrapText="1"/>
    </dxf>
    <dxf>
      <alignment horizontal="left" wrapText="1"/>
    </dxf>
    <dxf>
      <alignment horizontal="left" wrapText="1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10" totalsRowShown="0">
  <tableColumns count="5">
    <tableColumn id="1" name="Employee ID" dataDxfId="0"/>
    <tableColumn id="2" name="Employee" dataDxfId="1"/>
    <tableColumn id="3" name="Department" dataDxfId="2"/>
    <tableColumn id="4" name="Annual Salary" dataDxfId="3"/>
    <tableColumn id="5" name="Department Manager" dataDxfId="4">
      <calculatedColumnFormula>_xlfn.XLOOKUP(C2,$J$2:$J$6,$K$2:$K$6,"No manager Assigned Yet")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1:H9" totalsRowShown="0">
  <tableColumns count="2">
    <tableColumn id="1" name="Employee ID" dataDxfId="5"/>
    <tableColumn id="2" name="Annual Salary" dataDxfId="6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J1:K6" totalsRowShown="0">
  <tableColumns count="2">
    <tableColumn id="1" name="Department" dataDxfId="7"/>
    <tableColumn id="2" name="Manager" dataDxfId="8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C5:F13" totalsRowShown="0">
  <tableColumns count="4">
    <tableColumn id="1" name="Product ID" dataDxfId="9"/>
    <tableColumn id="2" name="Product" dataDxfId="10"/>
    <tableColumn id="3" name="Category" dataDxfId="11"/>
    <tableColumn id="4" name="Unit Price" dataDxfId="12"/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I5:O16" totalsRowShown="0">
  <tableColumns count="7">
    <tableColumn id="1" name="Transaction ID" dataDxfId="13"/>
    <tableColumn id="2" name="Product ID" dataDxfId="14"/>
    <tableColumn id="3" name="Units Sold" dataDxfId="15"/>
    <tableColumn id="4" name="Product" dataDxfId="16">
      <calculatedColumnFormula>_xlfn.XLOOKUP(J6,$C$6:$C$13,$D$6:$D$13,"Product Not Found")</calculatedColumnFormula>
    </tableColumn>
    <tableColumn id="5" name="Category" dataDxfId="17">
      <calculatedColumnFormula>_xlfn.XLOOKUP(J6,$C$6:$C$13,$E$6:$E$13,"Product Not Found")</calculatedColumnFormula>
    </tableColumn>
    <tableColumn id="6" name="Unit Price" dataDxfId="18">
      <calculatedColumnFormula>_xlfn.XLOOKUP(J6,$C$6:$C$13,$F$6:$F$13,"Product Not Found")</calculatedColumnFormula>
    </tableColumn>
    <tableColumn id="7" name="Revenue" dataDxfId="19">
      <calculatedColumnFormula>IF(ISNUMBER(N6),K6*N6,"Revenue Not Available")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E3" sqref="E3"/>
    </sheetView>
  </sheetViews>
  <sheetFormatPr defaultColWidth="9.14285714285714" defaultRowHeight="15"/>
  <cols>
    <col min="1" max="1" width="19.2857142857143" customWidth="1"/>
    <col min="2" max="2" width="23.1428571428571" customWidth="1"/>
    <col min="3" max="3" width="20.4285714285714" customWidth="1"/>
    <col min="4" max="4" width="21.4285714285714" customWidth="1"/>
    <col min="5" max="5" width="19.7142857142857" customWidth="1"/>
    <col min="6" max="6" width="15.1428571428571" customWidth="1"/>
    <col min="7" max="7" width="14.1428571428571" customWidth="1"/>
    <col min="8" max="8" width="18.4285714285714" customWidth="1"/>
    <col min="10" max="10" width="14.4285714285714" customWidth="1"/>
    <col min="11" max="11" width="20.5714285714286" customWidth="1"/>
  </cols>
  <sheetData>
    <row r="1" ht="15.75" spans="1:11">
      <c r="A1" s="13" t="s">
        <v>0</v>
      </c>
      <c r="B1" s="13" t="s">
        <v>1</v>
      </c>
      <c r="C1" s="13" t="s">
        <v>2</v>
      </c>
      <c r="D1" t="s">
        <v>3</v>
      </c>
      <c r="E1" t="s">
        <v>4</v>
      </c>
      <c r="G1" s="13" t="s">
        <v>0</v>
      </c>
      <c r="H1" s="14" t="s">
        <v>3</v>
      </c>
      <c r="J1" s="13" t="s">
        <v>2</v>
      </c>
      <c r="K1" s="13" t="s">
        <v>5</v>
      </c>
    </row>
    <row r="2" ht="15.75" spans="1:11">
      <c r="A2" s="15" t="s">
        <v>6</v>
      </c>
      <c r="B2" s="15" t="s">
        <v>7</v>
      </c>
      <c r="C2" s="15" t="s">
        <v>8</v>
      </c>
      <c r="D2" s="16">
        <f t="shared" ref="D2:D10" si="0">_xlfn.XLOOKUP(A2,$G$2:$G$9,$H$2:$H$9,"Salary Not Available")</f>
        <v>72000</v>
      </c>
      <c r="E2" s="17" t="str">
        <f t="shared" ref="E2:E10" si="1">_xlfn.XLOOKUP(C2,$J$2:$J$6,$K$2:$K$6,"No manager Assigned Yet")</f>
        <v>Mr. Anderson</v>
      </c>
      <c r="G2" s="15" t="s">
        <v>6</v>
      </c>
      <c r="H2" s="18">
        <v>72000</v>
      </c>
      <c r="J2" s="15" t="s">
        <v>8</v>
      </c>
      <c r="K2" s="15" t="s">
        <v>9</v>
      </c>
    </row>
    <row r="3" ht="15.75" spans="1:11">
      <c r="A3" s="15" t="s">
        <v>10</v>
      </c>
      <c r="B3" s="15" t="s">
        <v>11</v>
      </c>
      <c r="C3" s="15" t="s">
        <v>12</v>
      </c>
      <c r="D3" s="16">
        <f t="shared" si="0"/>
        <v>85000</v>
      </c>
      <c r="E3" s="17" t="str">
        <f t="shared" si="1"/>
        <v>Ms. Williams</v>
      </c>
      <c r="G3" s="15" t="s">
        <v>10</v>
      </c>
      <c r="H3" s="18">
        <v>85000</v>
      </c>
      <c r="J3" s="15" t="s">
        <v>12</v>
      </c>
      <c r="K3" s="15" t="s">
        <v>13</v>
      </c>
    </row>
    <row r="4" ht="15.75" spans="1:11">
      <c r="A4" s="15" t="s">
        <v>14</v>
      </c>
      <c r="B4" s="15" t="s">
        <v>15</v>
      </c>
      <c r="C4" s="15" t="s">
        <v>16</v>
      </c>
      <c r="D4" s="16">
        <f t="shared" si="0"/>
        <v>68000</v>
      </c>
      <c r="E4" s="17" t="str">
        <f t="shared" si="1"/>
        <v>Mr. Brown</v>
      </c>
      <c r="G4" s="15" t="s">
        <v>14</v>
      </c>
      <c r="H4" s="18">
        <v>68000</v>
      </c>
      <c r="J4" s="15" t="s">
        <v>16</v>
      </c>
      <c r="K4" s="15" t="s">
        <v>17</v>
      </c>
    </row>
    <row r="5" ht="15.75" spans="1:11">
      <c r="A5" s="15" t="s">
        <v>18</v>
      </c>
      <c r="B5" s="15" t="s">
        <v>19</v>
      </c>
      <c r="C5" s="15" t="s">
        <v>20</v>
      </c>
      <c r="D5" s="16">
        <f t="shared" si="0"/>
        <v>61000</v>
      </c>
      <c r="E5" s="17" t="str">
        <f t="shared" si="1"/>
        <v>Mrs. Johnson</v>
      </c>
      <c r="G5" s="15" t="s">
        <v>18</v>
      </c>
      <c r="H5" s="18">
        <v>61000</v>
      </c>
      <c r="J5" s="15" t="s">
        <v>20</v>
      </c>
      <c r="K5" s="15" t="s">
        <v>21</v>
      </c>
    </row>
    <row r="6" ht="15.75" spans="1:11">
      <c r="A6" s="15" t="s">
        <v>22</v>
      </c>
      <c r="B6" s="15" t="s">
        <v>23</v>
      </c>
      <c r="C6" s="15" t="s">
        <v>12</v>
      </c>
      <c r="D6" s="16">
        <f t="shared" si="0"/>
        <v>92000</v>
      </c>
      <c r="E6" s="17" t="str">
        <f t="shared" si="1"/>
        <v>Ms. Williams</v>
      </c>
      <c r="G6" s="15" t="s">
        <v>22</v>
      </c>
      <c r="H6" s="18">
        <v>92000</v>
      </c>
      <c r="J6" s="15" t="s">
        <v>24</v>
      </c>
      <c r="K6" s="15" t="s">
        <v>25</v>
      </c>
    </row>
    <row r="7" ht="15.75" spans="1:8">
      <c r="A7" s="15" t="s">
        <v>26</v>
      </c>
      <c r="B7" s="15" t="s">
        <v>27</v>
      </c>
      <c r="C7" s="15" t="s">
        <v>8</v>
      </c>
      <c r="D7" s="16">
        <f t="shared" si="0"/>
        <v>75000</v>
      </c>
      <c r="E7" s="17" t="str">
        <f t="shared" si="1"/>
        <v>Mr. Anderson</v>
      </c>
      <c r="G7" s="15" t="s">
        <v>26</v>
      </c>
      <c r="H7" s="18">
        <v>75000</v>
      </c>
    </row>
    <row r="8" ht="15.75" spans="1:8">
      <c r="A8" s="15" t="s">
        <v>28</v>
      </c>
      <c r="B8" s="15" t="s">
        <v>29</v>
      </c>
      <c r="C8" s="15" t="s">
        <v>16</v>
      </c>
      <c r="D8" s="16">
        <f t="shared" si="0"/>
        <v>70000</v>
      </c>
      <c r="E8" s="17" t="str">
        <f t="shared" si="1"/>
        <v>Mr. Brown</v>
      </c>
      <c r="G8" s="15" t="s">
        <v>28</v>
      </c>
      <c r="H8" s="18">
        <v>70000</v>
      </c>
    </row>
    <row r="9" ht="15.75" spans="1:8">
      <c r="A9" s="15" t="s">
        <v>30</v>
      </c>
      <c r="B9" s="15" t="s">
        <v>31</v>
      </c>
      <c r="C9" s="15" t="s">
        <v>20</v>
      </c>
      <c r="D9" s="16">
        <f t="shared" si="0"/>
        <v>66000</v>
      </c>
      <c r="E9" s="17" t="str">
        <f t="shared" si="1"/>
        <v>Mrs. Johnson</v>
      </c>
      <c r="G9" s="15" t="s">
        <v>30</v>
      </c>
      <c r="H9" s="18">
        <v>66000</v>
      </c>
    </row>
    <row r="10" ht="15.75" spans="1:5">
      <c r="A10" s="15" t="s">
        <v>32</v>
      </c>
      <c r="B10" s="15" t="s">
        <v>33</v>
      </c>
      <c r="C10" s="15" t="s">
        <v>24</v>
      </c>
      <c r="D10" s="19" t="str">
        <f t="shared" si="0"/>
        <v>Salary Not Available</v>
      </c>
      <c r="E10" s="17" t="str">
        <f t="shared" si="1"/>
        <v>Mr. Davis</v>
      </c>
    </row>
  </sheetData>
  <pageMargins left="0.75" right="0.75" top="1" bottom="1" header="0.5" footer="0.5"/>
  <headerFooter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O16"/>
  <sheetViews>
    <sheetView tabSelected="1" workbookViewId="0">
      <selection activeCell="O7" sqref="O7"/>
    </sheetView>
  </sheetViews>
  <sheetFormatPr defaultColWidth="9.14285714285714" defaultRowHeight="15"/>
  <cols>
    <col min="3" max="3" width="10.8571428571429" customWidth="1"/>
    <col min="4" max="4" width="11.5714285714286" customWidth="1"/>
    <col min="5" max="5" width="15.4285714285714" customWidth="1"/>
    <col min="6" max="6" width="16" customWidth="1"/>
    <col min="9" max="9" width="14.1428571428571" customWidth="1"/>
    <col min="10" max="10" width="13.1428571428571" customWidth="1"/>
    <col min="11" max="11" width="12.2857142857143" customWidth="1"/>
    <col min="12" max="12" width="20.7142857142857" customWidth="1"/>
    <col min="13" max="13" width="18.5714285714286" customWidth="1"/>
    <col min="14" max="14" width="19.7142857142857" customWidth="1"/>
    <col min="15" max="15" width="23.2857142857143" customWidth="1"/>
  </cols>
  <sheetData>
    <row r="3" ht="15.75" spans="3:4">
      <c r="C3" s="1"/>
      <c r="D3" s="2"/>
    </row>
    <row r="4" ht="21.75" spans="3:15">
      <c r="C4" s="3" t="s">
        <v>34</v>
      </c>
      <c r="D4" s="4"/>
      <c r="E4" s="4"/>
      <c r="F4" s="4"/>
      <c r="I4" s="7" t="s">
        <v>35</v>
      </c>
      <c r="J4" s="8"/>
      <c r="K4" s="8"/>
      <c r="L4" s="8"/>
      <c r="M4" s="8"/>
      <c r="N4" s="8"/>
      <c r="O4" s="8"/>
    </row>
    <row r="5" ht="15.75" spans="3:15">
      <c r="C5" s="5" t="s">
        <v>36</v>
      </c>
      <c r="D5" s="5" t="s">
        <v>37</v>
      </c>
      <c r="E5" s="5" t="s">
        <v>38</v>
      </c>
      <c r="F5" s="5" t="s">
        <v>39</v>
      </c>
      <c r="I5" s="9" t="s">
        <v>40</v>
      </c>
      <c r="J5" s="9" t="s">
        <v>36</v>
      </c>
      <c r="K5" s="9" t="s">
        <v>41</v>
      </c>
      <c r="L5" s="10" t="s">
        <v>37</v>
      </c>
      <c r="M5" s="10" t="s">
        <v>38</v>
      </c>
      <c r="N5" s="10" t="s">
        <v>39</v>
      </c>
      <c r="O5" s="10" t="s">
        <v>42</v>
      </c>
    </row>
    <row r="6" ht="15.75" spans="3:15">
      <c r="C6" s="6" t="s">
        <v>43</v>
      </c>
      <c r="D6" s="6" t="s">
        <v>44</v>
      </c>
      <c r="E6" s="6" t="s">
        <v>45</v>
      </c>
      <c r="F6" s="6">
        <v>1050</v>
      </c>
      <c r="I6" s="6" t="s">
        <v>46</v>
      </c>
      <c r="J6" s="6" t="s">
        <v>43</v>
      </c>
      <c r="K6" s="6">
        <v>5</v>
      </c>
      <c r="L6" s="11" t="str">
        <f t="shared" ref="L6:L16" si="0">_xlfn.XLOOKUP(J6,$C$6:$C$13,$D$6:$D$13,"Product Not Found")</f>
        <v>Laptop</v>
      </c>
      <c r="M6" s="11" t="str">
        <f t="shared" ref="M6:M16" si="1">_xlfn.XLOOKUP(J6,$C$6:$C$13,$E$6:$E$13,"Product Not Found")</f>
        <v>Electronics</v>
      </c>
      <c r="N6" s="11">
        <f t="shared" ref="N6:N16" si="2">_xlfn.XLOOKUP(J6,$C$6:$C$13,$F$6:$F$13,"Product Not Found")</f>
        <v>1050</v>
      </c>
      <c r="O6" s="11">
        <f t="shared" ref="O6:O16" si="3">IF(ISNUMBER(N6),K6*N6,"Revenue Not Available")</f>
        <v>5250</v>
      </c>
    </row>
    <row r="7" ht="15.75" spans="3:15">
      <c r="C7" s="6" t="s">
        <v>47</v>
      </c>
      <c r="D7" s="6" t="s">
        <v>48</v>
      </c>
      <c r="E7" s="6" t="s">
        <v>45</v>
      </c>
      <c r="F7" s="6">
        <v>220</v>
      </c>
      <c r="I7" s="6" t="s">
        <v>49</v>
      </c>
      <c r="J7" s="6" t="s">
        <v>50</v>
      </c>
      <c r="K7" s="6">
        <v>20</v>
      </c>
      <c r="L7" s="11" t="str">
        <f t="shared" si="0"/>
        <v>Mouse</v>
      </c>
      <c r="M7" s="12" t="str">
        <f t="shared" si="1"/>
        <v>Accessories</v>
      </c>
      <c r="N7" s="11">
        <f t="shared" si="2"/>
        <v>25</v>
      </c>
      <c r="O7" s="11">
        <f t="shared" si="3"/>
        <v>500</v>
      </c>
    </row>
    <row r="8" ht="15.75" spans="3:15">
      <c r="C8" s="6" t="s">
        <v>50</v>
      </c>
      <c r="D8" s="6" t="s">
        <v>51</v>
      </c>
      <c r="E8" s="6" t="s">
        <v>52</v>
      </c>
      <c r="F8" s="6">
        <v>25</v>
      </c>
      <c r="I8" s="6" t="s">
        <v>53</v>
      </c>
      <c r="J8" s="6" t="s">
        <v>47</v>
      </c>
      <c r="K8" s="6">
        <v>8</v>
      </c>
      <c r="L8" s="11" t="str">
        <f t="shared" si="0"/>
        <v>Monitor</v>
      </c>
      <c r="M8" s="11" t="str">
        <f t="shared" si="1"/>
        <v>Electronics</v>
      </c>
      <c r="N8" s="11">
        <f t="shared" si="2"/>
        <v>220</v>
      </c>
      <c r="O8" s="11">
        <f t="shared" si="3"/>
        <v>1760</v>
      </c>
    </row>
    <row r="9" ht="15.75" spans="3:15">
      <c r="C9" s="6" t="s">
        <v>54</v>
      </c>
      <c r="D9" s="6" t="s">
        <v>55</v>
      </c>
      <c r="E9" s="6" t="s">
        <v>52</v>
      </c>
      <c r="F9" s="6">
        <v>45</v>
      </c>
      <c r="I9" s="6" t="s">
        <v>56</v>
      </c>
      <c r="J9" s="6" t="s">
        <v>57</v>
      </c>
      <c r="K9" s="6">
        <v>4</v>
      </c>
      <c r="L9" s="11" t="str">
        <f t="shared" si="0"/>
        <v>Printer</v>
      </c>
      <c r="M9" s="11" t="str">
        <f t="shared" si="1"/>
        <v>Office</v>
      </c>
      <c r="N9" s="11">
        <f t="shared" si="2"/>
        <v>180</v>
      </c>
      <c r="O9" s="11">
        <f t="shared" si="3"/>
        <v>720</v>
      </c>
    </row>
    <row r="10" ht="15.75" spans="3:15">
      <c r="C10" s="6" t="s">
        <v>57</v>
      </c>
      <c r="D10" s="6" t="s">
        <v>58</v>
      </c>
      <c r="E10" s="6" t="s">
        <v>59</v>
      </c>
      <c r="F10" s="6">
        <v>180</v>
      </c>
      <c r="I10" s="6" t="s">
        <v>60</v>
      </c>
      <c r="J10" s="6" t="s">
        <v>54</v>
      </c>
      <c r="K10" s="6">
        <v>15</v>
      </c>
      <c r="L10" s="11" t="str">
        <f t="shared" si="0"/>
        <v>Keyboard</v>
      </c>
      <c r="M10" s="11" t="str">
        <f t="shared" si="1"/>
        <v>Accessories</v>
      </c>
      <c r="N10" s="11">
        <f t="shared" si="2"/>
        <v>45</v>
      </c>
      <c r="O10" s="11">
        <f t="shared" si="3"/>
        <v>675</v>
      </c>
    </row>
    <row r="11" ht="15.75" spans="3:15">
      <c r="C11" s="6" t="s">
        <v>61</v>
      </c>
      <c r="D11" s="6" t="s">
        <v>62</v>
      </c>
      <c r="E11" s="6" t="s">
        <v>52</v>
      </c>
      <c r="F11" s="6">
        <v>85</v>
      </c>
      <c r="I11" s="6" t="s">
        <v>63</v>
      </c>
      <c r="J11" s="6" t="s">
        <v>43</v>
      </c>
      <c r="K11" s="6">
        <v>3</v>
      </c>
      <c r="L11" s="11" t="str">
        <f t="shared" si="0"/>
        <v>Laptop</v>
      </c>
      <c r="M11" s="11" t="str">
        <f t="shared" si="1"/>
        <v>Electronics</v>
      </c>
      <c r="N11" s="11">
        <f t="shared" si="2"/>
        <v>1050</v>
      </c>
      <c r="O11" s="11">
        <f t="shared" si="3"/>
        <v>3150</v>
      </c>
    </row>
    <row r="12" ht="15.75" spans="3:15">
      <c r="C12" s="6" t="s">
        <v>64</v>
      </c>
      <c r="D12" s="6" t="s">
        <v>65</v>
      </c>
      <c r="E12" s="6" t="s">
        <v>66</v>
      </c>
      <c r="F12" s="6">
        <v>120</v>
      </c>
      <c r="I12" s="6" t="s">
        <v>67</v>
      </c>
      <c r="J12" s="6" t="s">
        <v>68</v>
      </c>
      <c r="K12" s="6">
        <v>10</v>
      </c>
      <c r="L12" s="11" t="str">
        <f t="shared" si="0"/>
        <v>SSD</v>
      </c>
      <c r="M12" s="11" t="str">
        <f t="shared" si="1"/>
        <v>Storage</v>
      </c>
      <c r="N12" s="11">
        <f t="shared" si="2"/>
        <v>110</v>
      </c>
      <c r="O12" s="11">
        <f t="shared" si="3"/>
        <v>1100</v>
      </c>
    </row>
    <row r="13" ht="15.75" spans="3:15">
      <c r="C13" s="6" t="s">
        <v>68</v>
      </c>
      <c r="D13" s="6" t="s">
        <v>69</v>
      </c>
      <c r="E13" s="6" t="s">
        <v>70</v>
      </c>
      <c r="F13" s="6">
        <v>110</v>
      </c>
      <c r="I13" s="6" t="s">
        <v>71</v>
      </c>
      <c r="J13" s="6" t="s">
        <v>61</v>
      </c>
      <c r="K13" s="6">
        <v>12</v>
      </c>
      <c r="L13" s="11" t="str">
        <f t="shared" si="0"/>
        <v>Webcam</v>
      </c>
      <c r="M13" s="11" t="str">
        <f t="shared" si="1"/>
        <v>Accessories</v>
      </c>
      <c r="N13" s="11">
        <f t="shared" si="2"/>
        <v>85</v>
      </c>
      <c r="O13" s="11">
        <f t="shared" si="3"/>
        <v>1020</v>
      </c>
    </row>
    <row r="14" ht="15.75" spans="9:15">
      <c r="I14" s="6" t="s">
        <v>72</v>
      </c>
      <c r="J14" s="6" t="s">
        <v>50</v>
      </c>
      <c r="K14" s="6">
        <v>30</v>
      </c>
      <c r="L14" s="11" t="str">
        <f t="shared" si="0"/>
        <v>Mouse</v>
      </c>
      <c r="M14" s="11" t="str">
        <f t="shared" si="1"/>
        <v>Accessories</v>
      </c>
      <c r="N14" s="11">
        <f t="shared" si="2"/>
        <v>25</v>
      </c>
      <c r="O14" s="11">
        <f t="shared" si="3"/>
        <v>750</v>
      </c>
    </row>
    <row r="15" ht="15.75" spans="9:15">
      <c r="I15" s="6" t="s">
        <v>73</v>
      </c>
      <c r="J15" s="6" t="s">
        <v>64</v>
      </c>
      <c r="K15" s="6">
        <v>6</v>
      </c>
      <c r="L15" s="11" t="str">
        <f t="shared" si="0"/>
        <v>Router</v>
      </c>
      <c r="M15" s="11" t="str">
        <f t="shared" si="1"/>
        <v>Networking</v>
      </c>
      <c r="N15" s="11">
        <f t="shared" si="2"/>
        <v>120</v>
      </c>
      <c r="O15" s="11">
        <f t="shared" si="3"/>
        <v>720</v>
      </c>
    </row>
    <row r="16" ht="15.75" spans="9:15">
      <c r="I16" s="6" t="s">
        <v>74</v>
      </c>
      <c r="J16" s="6" t="s">
        <v>75</v>
      </c>
      <c r="K16" s="6">
        <v>5</v>
      </c>
      <c r="L16" s="11" t="str">
        <f t="shared" si="0"/>
        <v>Product Not Found</v>
      </c>
      <c r="M16" s="11" t="str">
        <f t="shared" si="1"/>
        <v>Product Not Found</v>
      </c>
      <c r="N16" s="11" t="str">
        <f t="shared" si="2"/>
        <v>Product Not Found</v>
      </c>
      <c r="O16" s="11" t="str">
        <f t="shared" si="3"/>
        <v>Revenue Not Available</v>
      </c>
    </row>
  </sheetData>
  <mergeCells count="2">
    <mergeCell ref="C4:F4"/>
    <mergeCell ref="I4:O4"/>
  </mergeCells>
  <pageMargins left="0.75" right="0.75" top="1" bottom="1" header="0.5" footer="0.5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XLOOKUP practice</vt:lpstr>
      <vt:lpstr>Product 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2026-08-10T16:40:06Z</dcterms:created>
  <dcterms:modified xsi:type="dcterms:W3CDTF">2026-08-10T19:23:41Z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25D82F2DBD4C4D40A5EDEED481F002B2_11</vt:lpwstr>
  </property>
  <property fmtid="{D5CDD505-2E9C-101B-9397-08002B2CF9AE}" pid="3" name="KSOProductBuildVer">
    <vt:lpwstr>2057-12.2.0.23206</vt:lpwstr>
  </property>
</Properties>
</file>