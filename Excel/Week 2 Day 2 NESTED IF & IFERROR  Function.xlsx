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 tabRatio="500" activeTab="3"/>
  </bookViews>
  <sheets>
    <sheet name="IF Practice" sheetId="11" r:id="rId1"/>
    <sheet name="Employee Bonus" sheetId="12" r:id="rId2"/>
    <sheet name="Sales Categories" sheetId="13" r:id="rId3"/>
    <sheet name="Nested IF Practice" sheetId="14" r:id="rId4"/>
    <sheet name="Salary Level" sheetId="15" r:id="rId5"/>
    <sheet name="IFERROR" sheetId="16" r:id="rId6"/>
    <sheet name="Sales Performance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<sst xmlns="http://schemas.openxmlformats.org/spreadsheetml/2006/main" count="123" uniqueCount="53">
  <si>
    <t>Student</t>
  </si>
  <si>
    <t>Score</t>
  </si>
  <si>
    <t>Student Result</t>
  </si>
  <si>
    <t>John</t>
  </si>
  <si>
    <t>Mary</t>
  </si>
  <si>
    <t>David</t>
  </si>
  <si>
    <t>Sarah</t>
  </si>
  <si>
    <t>James</t>
  </si>
  <si>
    <t>Grace</t>
  </si>
  <si>
    <t>Peter</t>
  </si>
  <si>
    <t>Ruth</t>
  </si>
  <si>
    <t>Daniel</t>
  </si>
  <si>
    <t>Esther</t>
  </si>
  <si>
    <t>Mary, James, and Ruth failed the assessment</t>
  </si>
  <si>
    <t>Employee</t>
  </si>
  <si>
    <t>Sales</t>
  </si>
  <si>
    <t>Bonus Eligible</t>
  </si>
  <si>
    <t>Rating</t>
  </si>
  <si>
    <t>Bonus Eligibility</t>
  </si>
  <si>
    <t>Promotion Candidate</t>
  </si>
  <si>
    <t>John, David, Sarah, Grace, Ruth, and Esther deserve recognition</t>
  </si>
  <si>
    <t>only 5 people are qualified for bonus</t>
  </si>
  <si>
    <t>Product</t>
  </si>
  <si>
    <t>Revenue</t>
  </si>
  <si>
    <t>Category</t>
  </si>
  <si>
    <t>Laptop</t>
  </si>
  <si>
    <t>Monitor</t>
  </si>
  <si>
    <t>Printer</t>
  </si>
  <si>
    <t>Keyboard</t>
  </si>
  <si>
    <t>Mouse</t>
  </si>
  <si>
    <t>Tablet</t>
  </si>
  <si>
    <t>Scanner</t>
  </si>
  <si>
    <t>Webcam</t>
  </si>
  <si>
    <t>SSD</t>
  </si>
  <si>
    <t>Router</t>
  </si>
  <si>
    <t>Laptop and Tablet are the high-value products based on the revenue they generated, and should be stocked more. 
Printer, Keyboard, Mouse, Scanner, Webcan, and Router need more marketing</t>
  </si>
  <si>
    <t>PERFORMANCE RATING USING NESTED IF()</t>
  </si>
  <si>
    <t>Performance Score</t>
  </si>
  <si>
    <t>Performance Rating</t>
  </si>
  <si>
    <t>SALES LEVEL USING IF()</t>
  </si>
  <si>
    <t>Annual Salary</t>
  </si>
  <si>
    <t>Salary Level</t>
  </si>
  <si>
    <t>IFERROR() PRACTICE</t>
  </si>
  <si>
    <t>Units</t>
  </si>
  <si>
    <t>Revenue Per Unit</t>
  </si>
  <si>
    <t>Units Sold</t>
  </si>
  <si>
    <t>Revenue per Unit</t>
  </si>
  <si>
    <t>SALESPERSON PERFORMANCE USING NESTED IFAND IF ERROR FUNCTION</t>
  </si>
  <si>
    <t>Salesperson</t>
  </si>
  <si>
    <t>Target</t>
  </si>
  <si>
    <t>Target Achievement %</t>
  </si>
  <si>
    <t>Performance</t>
  </si>
  <si>
    <t>Ajlan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</si>
</sst>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176" formatCode="_(&quot;$&quot;* #,##0.00_);_(&quot;$&quot;* \(#,##0.00\);_(&quot;$&quot;* \-??_);_(@_)"/>
    <numFmt numFmtId="177" formatCode="_ &quot;$&quot;* #,##0_ ;_ &quot;$&quot;* \-#,##0_ ;_ &quot;$&quot;* &quot;-&quot;??_ ;_ @_ "/>
    <numFmt numFmtId="178" formatCode="_ &quot;$&quot;* #,##0.00_ ;_ &quot;$&quot;* \-#,##0.00_ ;_ &quot;$&quot;* &quot;-&quot;??_ ;_ @_ "/>
  </numFmts>
  <fonts count="25">
    <font>
      <sz val="11"/>
      <color theme="1"/>
      <name val="Aptos Narrow"/>
      <charset val="1"/>
    </font>
    <font>
      <b/>
      <sz val="9"/>
      <color theme="0"/>
      <name val="Aptos Narrow"/>
      <charset val="1"/>
    </font>
    <font>
      <b/>
      <sz val="11"/>
      <color theme="1"/>
      <name val="Aptos Narrow"/>
      <charset val="1"/>
    </font>
    <font>
      <sz val="10"/>
      <name val="Arial"/>
      <charset val="134"/>
    </font>
    <font>
      <b/>
      <sz val="11"/>
      <color theme="0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Border="0" applyAlignment="0" applyProtection="0"/>
    <xf numFmtId="176" fontId="0" fillId="0" borderId="0" applyBorder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>
      <alignment horizontal="left"/>
    </xf>
    <xf numFmtId="0" fontId="2" fillId="0" borderId="0" applyBorder="0" applyProtection="0">
      <alignment horizontal="left"/>
    </xf>
    <xf numFmtId="0" fontId="2" fillId="0" borderId="0" applyBorder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77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9" fontId="3" fillId="0" borderId="1" xfId="3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177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17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78" fontId="0" fillId="0" borderId="1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78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applyBorder="1"/>
    <xf numFmtId="0" fontId="0" fillId="0" borderId="7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orner" xfId="49"/>
    <cellStyle name="Pivot Table Value" xfId="50"/>
    <cellStyle name="Pivot Table Field" xfId="51"/>
    <cellStyle name="Pivot Table Category" xfId="52"/>
    <cellStyle name="Pivot Table Title" xfId="53"/>
    <cellStyle name="Pivot Table Result" xfId="54"/>
  </cellStyles>
  <dxfs count="32">
    <dxf>
      <alignment horizontal="center" vertical="center" wrapText="1"/>
    </dxf>
    <dxf>
      <alignment horizontal="center" vertical="center" wrapText="1"/>
    </dxf>
    <dxf>
      <numFmt numFmtId="0" formatCode="General"/>
      <alignment horizontal="right" vertical="center"/>
    </dxf>
    <dxf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/>
    </dxf>
    <dxf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/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&quot;$&quot;* #,##0.00_ ;_ &quot;$&quot;* \-#,##0.00_ ;_ &quot;$&quot;* &quot;-&quot;??_ ;_ @_ "/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&quot;$&quot;* #,##0.00_ ;_ &quot;$&quot;* \-#,##0.00_ ;_ &quot;$&quot;* &quot;-&quot;??_ ;_ @_ "/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7030A0"/>
      <rgbColor rgb="00008080"/>
      <rgbColor rgb="00BFBFBF"/>
      <rgbColor rgb="00808080"/>
      <rgbColor rgb="009999FF"/>
      <rgbColor rgb="0078206E"/>
      <rgbColor rgb="00F2F2F2"/>
      <rgbColor rgb="00CCFFFF"/>
      <rgbColor rgb="00660066"/>
      <rgbColor rgb="00D86ECC"/>
      <rgbColor rgb="00004586"/>
      <rgbColor rgb="00CADFF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E59E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B3B3B3"/>
      <rgbColor rgb="00163E64"/>
      <rgbColor rgb="00339966"/>
      <rgbColor rgb="000E2841"/>
      <rgbColor rgb="00333300"/>
      <rgbColor rgb="00993300"/>
      <rgbColor rgb="007030A0"/>
      <rgbColor rgb="00104862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2" name="Table12" displayName="Table12" ref="C6:E16" totalsRowShown="0">
  <tableColumns count="3">
    <tableColumn id="1" name="Student" dataDxfId="0"/>
    <tableColumn id="2" name="Score" dataDxfId="1"/>
    <tableColumn id="3" name="Student Result" dataDxfId="2">
      <calculatedColumnFormula>IF(D7&gt;=50,"Passed","Failed")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4:E14" totalsRowShown="0">
  <tableColumns count="3">
    <tableColumn id="1" name="Employee" dataDxfId="3"/>
    <tableColumn id="2" name="Performance Score" dataDxfId="4"/>
    <tableColumn id="3" name="Performance Rating" dataDxfId="5">
      <calculatedColumnFormula>IF(D5&gt;=90,"Excellent",IF(D5&gt;=75,"Good",IF(D5&gt;=50,"Average","Poor")))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4:E14" totalsRowShown="0">
  <tableColumns count="3">
    <tableColumn id="1" name="Employee" dataDxfId="6"/>
    <tableColumn id="2" name="Annual Salary" dataDxfId="7"/>
    <tableColumn id="3" name="Salary Level" dataDxfId="8">
      <calculatedColumnFormula>IF(D5&gt;=90000,"Senior",IF(D5&gt;=70000,"Mid-Level",IF(D5&gt;=50000,"Junior Level","Entry-Level")))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C4:F8" totalsRowShown="0">
  <tableColumns count="4">
    <tableColumn id="1" name="Product" dataDxfId="9"/>
    <tableColumn id="2" name="Revenue" dataDxfId="10"/>
    <tableColumn id="3" name="Units" dataDxfId="11"/>
    <tableColumn id="4" name="Revenue Per Unit" dataDxfId="12">
      <calculatedColumnFormula>IFERROR(D5/E5,0)</calculatedColumnFormula>
    </tableColumn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I4:L12" totalsRowShown="0">
  <tableColumns count="4">
    <tableColumn id="1" name="Product"/>
    <tableColumn id="2" name="Revenue"/>
    <tableColumn id="3" name="Units Sold"/>
    <tableColumn id="4" name="Revenue per Unit">
      <calculatedColumnFormula>IFERROR(J5/K5,"N/A")</calculatedColumnFormula>
    </tableColumn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3" name="Table3" displayName="Table3" ref="C4:G13" totalsRowShown="0">
  <tableColumns count="5">
    <tableColumn id="1" name="Salesperson"/>
    <tableColumn id="2" name="Revenue"/>
    <tableColumn id="3" name="Target"/>
    <tableColumn id="4" name="Target Achievement %" dataDxfId="13">
      <calculatedColumnFormula>IFERROR(D5/E5,"No Target")</calculatedColumnFormula>
    </tableColumn>
    <tableColumn id="5" name="Performance" dataDxfId="14">
      <calculatedColumnFormula>IF(E5=0,"No Target",IF(F5&gt;=100%,"Target met",IF(F5&gt;=90%,"Near Target","Below Target")))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F19"/>
  <sheetViews>
    <sheetView showGridLines="0" workbookViewId="0">
      <selection activeCell="C19" sqref="C19:F19"/>
    </sheetView>
  </sheetViews>
  <sheetFormatPr defaultColWidth="9" defaultRowHeight="14.25" outlineLevelCol="5"/>
  <cols>
    <col min="5" max="5" width="15.125" customWidth="1"/>
  </cols>
  <sheetData>
    <row r="6" ht="15" spans="3:5">
      <c r="C6" s="40" t="s">
        <v>0</v>
      </c>
      <c r="D6" s="40" t="s">
        <v>1</v>
      </c>
      <c r="E6" s="47" t="s">
        <v>2</v>
      </c>
    </row>
    <row r="7" spans="3:5">
      <c r="C7" s="41" t="s">
        <v>3</v>
      </c>
      <c r="D7" s="41">
        <v>82</v>
      </c>
      <c r="E7" s="48" t="str">
        <f t="shared" ref="E7:E16" si="0">IF(D7&gt;=50,"Passed","Failed")</f>
        <v>Passed</v>
      </c>
    </row>
    <row r="8" spans="3:5">
      <c r="C8" s="41" t="s">
        <v>4</v>
      </c>
      <c r="D8" s="41">
        <v>45</v>
      </c>
      <c r="E8" s="48" t="str">
        <f t="shared" si="0"/>
        <v>Failed</v>
      </c>
    </row>
    <row r="9" spans="3:5">
      <c r="C9" s="41" t="s">
        <v>5</v>
      </c>
      <c r="D9" s="41">
        <v>67</v>
      </c>
      <c r="E9" s="48" t="str">
        <f t="shared" si="0"/>
        <v>Passed</v>
      </c>
    </row>
    <row r="10" spans="3:5">
      <c r="C10" s="41" t="s">
        <v>6</v>
      </c>
      <c r="D10" s="41">
        <v>90</v>
      </c>
      <c r="E10" s="48" t="str">
        <f t="shared" si="0"/>
        <v>Passed</v>
      </c>
    </row>
    <row r="11" spans="3:5">
      <c r="C11" s="41" t="s">
        <v>7</v>
      </c>
      <c r="D11" s="41">
        <v>38</v>
      </c>
      <c r="E11" s="48" t="str">
        <f t="shared" si="0"/>
        <v>Failed</v>
      </c>
    </row>
    <row r="12" spans="3:5">
      <c r="C12" s="41" t="s">
        <v>8</v>
      </c>
      <c r="D12" s="41">
        <v>74</v>
      </c>
      <c r="E12" s="48" t="str">
        <f t="shared" si="0"/>
        <v>Passed</v>
      </c>
    </row>
    <row r="13" spans="3:5">
      <c r="C13" s="41" t="s">
        <v>9</v>
      </c>
      <c r="D13" s="41">
        <v>51</v>
      </c>
      <c r="E13" s="48" t="str">
        <f t="shared" si="0"/>
        <v>Passed</v>
      </c>
    </row>
    <row r="14" spans="3:5">
      <c r="C14" s="41" t="s">
        <v>10</v>
      </c>
      <c r="D14" s="41">
        <v>49</v>
      </c>
      <c r="E14" s="48" t="str">
        <f t="shared" si="0"/>
        <v>Failed</v>
      </c>
    </row>
    <row r="15" spans="3:5">
      <c r="C15" s="41" t="s">
        <v>11</v>
      </c>
      <c r="D15" s="41">
        <v>88</v>
      </c>
      <c r="E15" s="48" t="str">
        <f t="shared" si="0"/>
        <v>Passed</v>
      </c>
    </row>
    <row r="16" spans="3:5">
      <c r="C16" s="41" t="s">
        <v>12</v>
      </c>
      <c r="D16" s="41">
        <v>59</v>
      </c>
      <c r="E16" s="48" t="str">
        <f t="shared" si="0"/>
        <v>Passed</v>
      </c>
    </row>
    <row r="19" spans="3:3">
      <c r="C19" t="s">
        <v>13</v>
      </c>
    </row>
  </sheetData>
  <mergeCells count="1">
    <mergeCell ref="C19:F19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M17"/>
  <sheetViews>
    <sheetView showGridLines="0" workbookViewId="0">
      <selection activeCell="A3" sqref="A3"/>
    </sheetView>
  </sheetViews>
  <sheetFormatPr defaultColWidth="9" defaultRowHeight="14.25"/>
  <cols>
    <col min="3" max="3" width="10" customWidth="1"/>
    <col min="5" max="5" width="20.625" customWidth="1"/>
    <col min="9" max="9" width="10" customWidth="1"/>
    <col min="12" max="12" width="16.25" customWidth="1"/>
    <col min="13" max="13" width="22.875" customWidth="1"/>
  </cols>
  <sheetData>
    <row r="4" ht="15" spans="3:13">
      <c r="C4" s="40" t="s">
        <v>14</v>
      </c>
      <c r="D4" s="40" t="s">
        <v>15</v>
      </c>
      <c r="E4" s="40" t="s">
        <v>16</v>
      </c>
      <c r="I4" s="40" t="s">
        <v>14</v>
      </c>
      <c r="J4" s="46" t="s">
        <v>15</v>
      </c>
      <c r="K4" s="46" t="s">
        <v>17</v>
      </c>
      <c r="L4" s="40" t="s">
        <v>18</v>
      </c>
      <c r="M4" s="40" t="s">
        <v>19</v>
      </c>
    </row>
    <row r="5" spans="3:13">
      <c r="C5" s="43" t="s">
        <v>3</v>
      </c>
      <c r="D5" s="44">
        <v>18000</v>
      </c>
      <c r="E5" s="45" t="str">
        <f>IF(D5&gt;=15000,"Yes","No")</f>
        <v>Yes</v>
      </c>
      <c r="I5" s="43" t="s">
        <v>3</v>
      </c>
      <c r="J5" s="44">
        <v>18000</v>
      </c>
      <c r="K5" s="44">
        <v>5</v>
      </c>
      <c r="L5" s="45" t="str">
        <f>IF(AND(J5&gt;=15000,K5&gt;=4),"Eligible","Not Eligible")</f>
        <v>Eligible</v>
      </c>
      <c r="M5" s="45" t="str">
        <f>IF(OR(J5&gt;=15000,K5=5),"Yes","No")</f>
        <v>Yes</v>
      </c>
    </row>
    <row r="6" spans="3:13">
      <c r="C6" s="43" t="s">
        <v>4</v>
      </c>
      <c r="D6" s="44">
        <v>9500</v>
      </c>
      <c r="E6" s="45" t="str">
        <f t="shared" ref="E6:E14" si="0">IF(D6&gt;=15000,"Yes","No")</f>
        <v>No</v>
      </c>
      <c r="I6" s="43" t="s">
        <v>4</v>
      </c>
      <c r="J6" s="44">
        <v>9500</v>
      </c>
      <c r="K6" s="44">
        <v>4</v>
      </c>
      <c r="L6" s="45" t="str">
        <f t="shared" ref="L6:L14" si="1">IF(AND(J6&gt;=15000,K6&gt;=4),"Eligible","Not Eligible")</f>
        <v>Not Eligible</v>
      </c>
      <c r="M6" s="45" t="str">
        <f t="shared" ref="M6:M14" si="2">IF(OR(J6&gt;=15000,K6=5),"Yes","No")</f>
        <v>No</v>
      </c>
    </row>
    <row r="7" spans="3:13">
      <c r="C7" s="43" t="s">
        <v>5</v>
      </c>
      <c r="D7" s="44">
        <v>21000</v>
      </c>
      <c r="E7" s="45" t="str">
        <f t="shared" si="0"/>
        <v>Yes</v>
      </c>
      <c r="I7" s="43" t="s">
        <v>5</v>
      </c>
      <c r="J7" s="44">
        <v>21000</v>
      </c>
      <c r="K7" s="44">
        <v>3</v>
      </c>
      <c r="L7" s="45" t="str">
        <f t="shared" si="1"/>
        <v>Not Eligible</v>
      </c>
      <c r="M7" s="45" t="str">
        <f t="shared" si="2"/>
        <v>Yes</v>
      </c>
    </row>
    <row r="8" spans="3:13">
      <c r="C8" s="43" t="s">
        <v>6</v>
      </c>
      <c r="D8" s="44">
        <v>14500</v>
      </c>
      <c r="E8" s="45" t="str">
        <f t="shared" si="0"/>
        <v>No</v>
      </c>
      <c r="I8" s="43" t="s">
        <v>6</v>
      </c>
      <c r="J8" s="44">
        <v>14500</v>
      </c>
      <c r="K8" s="44">
        <v>5</v>
      </c>
      <c r="L8" s="45" t="str">
        <f t="shared" si="1"/>
        <v>Not Eligible</v>
      </c>
      <c r="M8" s="45" t="str">
        <f t="shared" si="2"/>
        <v>Yes</v>
      </c>
    </row>
    <row r="9" spans="3:13">
      <c r="C9" s="43" t="s">
        <v>7</v>
      </c>
      <c r="D9" s="44">
        <v>8000</v>
      </c>
      <c r="E9" s="45" t="str">
        <f t="shared" si="0"/>
        <v>No</v>
      </c>
      <c r="I9" s="43" t="s">
        <v>7</v>
      </c>
      <c r="J9" s="44">
        <v>8000</v>
      </c>
      <c r="K9" s="44">
        <v>4</v>
      </c>
      <c r="L9" s="45" t="str">
        <f t="shared" si="1"/>
        <v>Not Eligible</v>
      </c>
      <c r="M9" s="45" t="str">
        <f t="shared" si="2"/>
        <v>No</v>
      </c>
    </row>
    <row r="10" spans="3:13">
      <c r="C10" s="43" t="s">
        <v>8</v>
      </c>
      <c r="D10" s="44">
        <v>25000</v>
      </c>
      <c r="E10" s="45" t="str">
        <f t="shared" si="0"/>
        <v>Yes</v>
      </c>
      <c r="I10" s="43" t="s">
        <v>8</v>
      </c>
      <c r="J10" s="44">
        <v>25000</v>
      </c>
      <c r="K10" s="44">
        <v>5</v>
      </c>
      <c r="L10" s="45" t="str">
        <f t="shared" si="1"/>
        <v>Eligible</v>
      </c>
      <c r="M10" s="45" t="str">
        <f t="shared" si="2"/>
        <v>Yes</v>
      </c>
    </row>
    <row r="11" spans="3:13">
      <c r="C11" s="43" t="s">
        <v>9</v>
      </c>
      <c r="D11" s="44">
        <v>11000</v>
      </c>
      <c r="E11" s="45" t="str">
        <f t="shared" si="0"/>
        <v>No</v>
      </c>
      <c r="I11" s="43" t="s">
        <v>9</v>
      </c>
      <c r="J11" s="44">
        <v>11000</v>
      </c>
      <c r="K11" s="44">
        <v>3</v>
      </c>
      <c r="L11" s="45" t="str">
        <f t="shared" si="1"/>
        <v>Not Eligible</v>
      </c>
      <c r="M11" s="45" t="str">
        <f t="shared" si="2"/>
        <v>No</v>
      </c>
    </row>
    <row r="12" spans="3:13">
      <c r="C12" s="43" t="s">
        <v>10</v>
      </c>
      <c r="D12" s="44">
        <v>19500</v>
      </c>
      <c r="E12" s="45" t="str">
        <f t="shared" si="0"/>
        <v>Yes</v>
      </c>
      <c r="I12" s="43" t="s">
        <v>10</v>
      </c>
      <c r="J12" s="44">
        <v>19500</v>
      </c>
      <c r="K12" s="44">
        <v>4</v>
      </c>
      <c r="L12" s="45" t="str">
        <f t="shared" si="1"/>
        <v>Eligible</v>
      </c>
      <c r="M12" s="45" t="str">
        <f t="shared" si="2"/>
        <v>Yes</v>
      </c>
    </row>
    <row r="13" spans="3:13">
      <c r="C13" s="43" t="s">
        <v>11</v>
      </c>
      <c r="D13" s="44">
        <v>7200</v>
      </c>
      <c r="E13" s="45" t="str">
        <f t="shared" si="0"/>
        <v>No</v>
      </c>
      <c r="I13" s="43" t="s">
        <v>11</v>
      </c>
      <c r="J13" s="44">
        <v>7200</v>
      </c>
      <c r="K13" s="44">
        <v>2</v>
      </c>
      <c r="L13" s="45" t="str">
        <f t="shared" si="1"/>
        <v>Not Eligible</v>
      </c>
      <c r="M13" s="45" t="str">
        <f t="shared" si="2"/>
        <v>No</v>
      </c>
    </row>
    <row r="14" spans="3:13">
      <c r="C14" s="43" t="s">
        <v>12</v>
      </c>
      <c r="D14" s="44">
        <v>17000</v>
      </c>
      <c r="E14" s="45" t="str">
        <f t="shared" si="0"/>
        <v>Yes</v>
      </c>
      <c r="I14" s="43" t="s">
        <v>12</v>
      </c>
      <c r="J14" s="44">
        <v>17000</v>
      </c>
      <c r="K14" s="44">
        <v>5</v>
      </c>
      <c r="L14" s="45" t="str">
        <f t="shared" si="1"/>
        <v>Eligible</v>
      </c>
      <c r="M14" s="45" t="str">
        <f t="shared" si="2"/>
        <v>Yes</v>
      </c>
    </row>
    <row r="16" spans="9:9">
      <c r="I16" t="s">
        <v>20</v>
      </c>
    </row>
    <row r="17" spans="3:3">
      <c r="C17" t="s">
        <v>21</v>
      </c>
    </row>
  </sheetData>
  <mergeCells count="2">
    <mergeCell ref="I16:M16"/>
    <mergeCell ref="C17:E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4"/>
  <sheetViews>
    <sheetView showGridLines="0" topLeftCell="A2" workbookViewId="0">
      <selection activeCell="I7" sqref="I7"/>
    </sheetView>
  </sheetViews>
  <sheetFormatPr defaultColWidth="9" defaultRowHeight="14.25" outlineLevelCol="4"/>
  <sheetData>
    <row r="3" ht="15" spans="3:3">
      <c r="C3" s="39"/>
    </row>
    <row r="4" ht="15" spans="3:5">
      <c r="C4" s="40" t="s">
        <v>22</v>
      </c>
      <c r="D4" s="40" t="s">
        <v>23</v>
      </c>
      <c r="E4" s="40" t="s">
        <v>24</v>
      </c>
    </row>
    <row r="5" spans="3:5">
      <c r="C5" s="41" t="s">
        <v>25</v>
      </c>
      <c r="D5" s="41">
        <v>52000</v>
      </c>
      <c r="E5" s="41" t="str" cm="1">
        <f t="array" ref="E5">_xlfn.IFS(D5&gt;=20000,"High",AND(D5&gt;=10000,D5&lt;20000),"Medium",D5&lt;10000,"Low")</f>
        <v>High</v>
      </c>
    </row>
    <row r="6" spans="3:5">
      <c r="C6" s="41" t="s">
        <v>26</v>
      </c>
      <c r="D6" s="41">
        <v>18500</v>
      </c>
      <c r="E6" s="41" t="str" cm="1">
        <f t="array" ref="E6">_xlfn.IFS(D6&gt;=20000,"High",AND(D6&gt;=10000,D6&lt;20000),"Medium",D6&lt;10000,"Low")</f>
        <v>Medium</v>
      </c>
    </row>
    <row r="7" spans="3:5">
      <c r="C7" s="41" t="s">
        <v>27</v>
      </c>
      <c r="D7" s="41">
        <v>8200</v>
      </c>
      <c r="E7" s="41" t="str" cm="1">
        <f t="array" ref="E7">_xlfn.IFS(D7&gt;=20000,"High",AND(D7&gt;=10000,D7&lt;20000),"Medium",D7&lt;10000,"Low")</f>
        <v>Low</v>
      </c>
    </row>
    <row r="8" spans="3:5">
      <c r="C8" s="41" t="s">
        <v>28</v>
      </c>
      <c r="D8" s="41">
        <v>6100</v>
      </c>
      <c r="E8" s="41" t="str" cm="1">
        <f t="array" ref="E8">_xlfn.IFS(D8&gt;=20000,"High",AND(D8&gt;=10000,D8&lt;20000),"Medium",D8&lt;10000,"Low")</f>
        <v>Low</v>
      </c>
    </row>
    <row r="9" spans="3:5">
      <c r="C9" s="41" t="s">
        <v>29</v>
      </c>
      <c r="D9" s="41">
        <v>1750</v>
      </c>
      <c r="E9" s="41" t="str" cm="1">
        <f t="array" ref="E9">_xlfn.IFS(D9&gt;=20000,"High",AND(D9&gt;=10000,D9&lt;20000),"Medium",D9&lt;10000,"Low")</f>
        <v>Low</v>
      </c>
    </row>
    <row r="10" spans="3:5">
      <c r="C10" s="41" t="s">
        <v>30</v>
      </c>
      <c r="D10" s="41">
        <v>24500</v>
      </c>
      <c r="E10" s="41" t="str" cm="1">
        <f t="array" ref="E10">_xlfn.IFS(D10&gt;=20000,"High",AND(D10&gt;=10000,D10&lt;20000),"Medium",D10&lt;10000,"Low")</f>
        <v>High</v>
      </c>
    </row>
    <row r="11" spans="3:5">
      <c r="C11" s="41" t="s">
        <v>31</v>
      </c>
      <c r="D11" s="41">
        <v>9800</v>
      </c>
      <c r="E11" s="41" t="str" cm="1">
        <f t="array" ref="E11">_xlfn.IFS(D11&gt;=20000,"High",AND(D11&gt;=10000,D11&lt;20000),"Medium",D11&lt;10000,"Low")</f>
        <v>Low</v>
      </c>
    </row>
    <row r="12" spans="3:5">
      <c r="C12" s="41" t="s">
        <v>32</v>
      </c>
      <c r="D12" s="41">
        <v>4600</v>
      </c>
      <c r="E12" s="41" t="str" cm="1">
        <f t="array" ref="E12">_xlfn.IFS(D12&gt;=20000,"High",AND(D12&gt;=10000,D12&lt;20000),"Medium",D12&lt;10000,"Low")</f>
        <v>Low</v>
      </c>
    </row>
    <row r="13" spans="3:5">
      <c r="C13" s="41" t="s">
        <v>33</v>
      </c>
      <c r="D13" s="41">
        <v>13200</v>
      </c>
      <c r="E13" s="41" t="str" cm="1">
        <f t="array" ref="E13">_xlfn.IFS(D13&gt;=20000,"High",AND(D13&gt;=10000,D13&lt;20000),"Medium",D13&lt;10000,"Low")</f>
        <v>Medium</v>
      </c>
    </row>
    <row r="14" spans="3:5">
      <c r="C14" s="41" t="s">
        <v>34</v>
      </c>
      <c r="D14" s="41">
        <v>7400</v>
      </c>
      <c r="E14" s="41" t="str" cm="1">
        <f t="array" ref="E14">_xlfn.IFS(D14&gt;=20000,"High",AND(D14&gt;=10000,D14&lt;20000),"Medium",D14&lt;10000,"Low")</f>
        <v>Low</v>
      </c>
    </row>
    <row r="16" spans="3:5">
      <c r="C16" s="42" t="s">
        <v>35</v>
      </c>
      <c r="D16" s="42"/>
      <c r="E16" s="42"/>
    </row>
    <row r="17" spans="3:5">
      <c r="C17" s="42"/>
      <c r="D17" s="42"/>
      <c r="E17" s="42"/>
    </row>
    <row r="18" spans="3:5">
      <c r="C18" s="42"/>
      <c r="D18" s="42"/>
      <c r="E18" s="42"/>
    </row>
    <row r="19" spans="3:5">
      <c r="C19" s="42"/>
      <c r="D19" s="42"/>
      <c r="E19" s="42"/>
    </row>
    <row r="20" spans="3:5">
      <c r="C20" s="42"/>
      <c r="D20" s="42"/>
      <c r="E20" s="42"/>
    </row>
    <row r="21" spans="3:5">
      <c r="C21" s="42"/>
      <c r="D21" s="42"/>
      <c r="E21" s="42"/>
    </row>
    <row r="22" spans="3:5">
      <c r="C22" s="42"/>
      <c r="D22" s="42"/>
      <c r="E22" s="42"/>
    </row>
    <row r="23" spans="3:5">
      <c r="C23" s="42"/>
      <c r="D23" s="42"/>
      <c r="E23" s="42"/>
    </row>
    <row r="24" spans="3:5">
      <c r="C24" s="42"/>
      <c r="D24" s="42"/>
      <c r="E24" s="42"/>
    </row>
  </sheetData>
  <mergeCells count="1">
    <mergeCell ref="C16:E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14"/>
  <sheetViews>
    <sheetView tabSelected="1" workbookViewId="0">
      <selection activeCell="G11" sqref="G11"/>
    </sheetView>
  </sheetViews>
  <sheetFormatPr defaultColWidth="9" defaultRowHeight="14.25" outlineLevelCol="4"/>
  <cols>
    <col min="3" max="3" width="11" customWidth="1"/>
    <col min="4" max="4" width="21.125" customWidth="1"/>
    <col min="5" max="5" width="21.75" customWidth="1"/>
  </cols>
  <sheetData>
    <row r="3" ht="15.75" spans="3:5">
      <c r="C3" s="33" t="s">
        <v>36</v>
      </c>
      <c r="D3" s="34"/>
      <c r="E3" s="34"/>
    </row>
    <row r="4" ht="15.75" spans="3:5">
      <c r="C4" s="18" t="s">
        <v>14</v>
      </c>
      <c r="D4" s="19" t="s">
        <v>37</v>
      </c>
      <c r="E4" s="20" t="s">
        <v>38</v>
      </c>
    </row>
    <row r="5" spans="3:5">
      <c r="C5" s="21" t="s">
        <v>3</v>
      </c>
      <c r="D5" s="23">
        <v>92</v>
      </c>
      <c r="E5" s="36" t="str">
        <f t="shared" ref="E5:E14" si="0">IF(D5&gt;=90,"Excellent",IF(D5&gt;=75,"Good",IF(D5&gt;=50,"Average","Poor")))</f>
        <v>Excellent</v>
      </c>
    </row>
    <row r="6" spans="3:5">
      <c r="C6" s="25" t="s">
        <v>4</v>
      </c>
      <c r="D6" s="27">
        <v>78</v>
      </c>
      <c r="E6" s="37" t="str">
        <f t="shared" si="0"/>
        <v>Good</v>
      </c>
    </row>
    <row r="7" spans="3:5">
      <c r="C7" s="25" t="s">
        <v>5</v>
      </c>
      <c r="D7" s="27">
        <v>64</v>
      </c>
      <c r="E7" s="37" t="str">
        <f t="shared" si="0"/>
        <v>Average</v>
      </c>
    </row>
    <row r="8" spans="3:5">
      <c r="C8" s="25" t="s">
        <v>6</v>
      </c>
      <c r="D8" s="27">
        <v>88</v>
      </c>
      <c r="E8" s="37" t="str">
        <f t="shared" si="0"/>
        <v>Good</v>
      </c>
    </row>
    <row r="9" spans="3:5">
      <c r="C9" s="25" t="s">
        <v>7</v>
      </c>
      <c r="D9" s="27">
        <v>45</v>
      </c>
      <c r="E9" s="37" t="str">
        <f t="shared" si="0"/>
        <v>Poor</v>
      </c>
    </row>
    <row r="10" spans="3:5">
      <c r="C10" s="25" t="s">
        <v>8</v>
      </c>
      <c r="D10" s="27">
        <v>96</v>
      </c>
      <c r="E10" s="37" t="str">
        <f t="shared" si="0"/>
        <v>Excellent</v>
      </c>
    </row>
    <row r="11" spans="3:5">
      <c r="C11" s="25" t="s">
        <v>9</v>
      </c>
      <c r="D11" s="27">
        <v>71</v>
      </c>
      <c r="E11" s="37" t="str">
        <f t="shared" si="0"/>
        <v>Average</v>
      </c>
    </row>
    <row r="12" spans="3:5">
      <c r="C12" s="25" t="s">
        <v>10</v>
      </c>
      <c r="D12" s="27">
        <v>83</v>
      </c>
      <c r="E12" s="37" t="str">
        <f t="shared" si="0"/>
        <v>Good</v>
      </c>
    </row>
    <row r="13" spans="3:5">
      <c r="C13" s="25" t="s">
        <v>11</v>
      </c>
      <c r="D13" s="27">
        <v>39</v>
      </c>
      <c r="E13" s="37" t="str">
        <f t="shared" si="0"/>
        <v>Poor</v>
      </c>
    </row>
    <row r="14" ht="15" spans="3:5">
      <c r="C14" s="29" t="s">
        <v>12</v>
      </c>
      <c r="D14" s="31">
        <v>90</v>
      </c>
      <c r="E14" s="38" t="str">
        <f t="shared" si="0"/>
        <v>Excellent</v>
      </c>
    </row>
  </sheetData>
  <mergeCells count="1">
    <mergeCell ref="C3:E3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4"/>
  <sheetViews>
    <sheetView workbookViewId="0">
      <selection activeCell="C3" sqref="C3:E3"/>
    </sheetView>
  </sheetViews>
  <sheetFormatPr defaultColWidth="9" defaultRowHeight="14.25"/>
  <cols>
    <col min="3" max="3" width="13.125" customWidth="1"/>
    <col min="4" max="4" width="20.875" customWidth="1"/>
    <col min="5" max="5" width="12.125" customWidth="1"/>
  </cols>
  <sheetData>
    <row r="3" ht="15" spans="3:5">
      <c r="C3" s="33" t="s">
        <v>39</v>
      </c>
      <c r="D3" s="34"/>
      <c r="E3" s="34"/>
    </row>
    <row r="4" ht="15" spans="3:5">
      <c r="C4" s="5" t="s">
        <v>14</v>
      </c>
      <c r="D4" s="5" t="s">
        <v>40</v>
      </c>
      <c r="E4" t="s">
        <v>41</v>
      </c>
    </row>
    <row r="5" spans="3:5">
      <c r="C5" s="27" t="s">
        <v>3</v>
      </c>
      <c r="D5" s="27">
        <v>72000</v>
      </c>
      <c r="E5" s="10" t="str">
        <f t="shared" ref="E5:E14" si="0">IF(D5&gt;=90000,"Senior",IF(D5&gt;=70000,"Mid-Level",IF(D5&gt;=50000,"Junior Level","Entry-Level")))</f>
        <v>Mid-Level</v>
      </c>
    </row>
    <row r="6" spans="3:5">
      <c r="C6" s="27" t="s">
        <v>4</v>
      </c>
      <c r="D6" s="27">
        <v>48000</v>
      </c>
      <c r="E6" s="10" t="str">
        <f t="shared" si="0"/>
        <v>Entry-Level</v>
      </c>
    </row>
    <row r="7" spans="3:5">
      <c r="C7" s="27" t="s">
        <v>5</v>
      </c>
      <c r="D7" s="27">
        <v>95000</v>
      </c>
      <c r="E7" s="10" t="str">
        <f t="shared" si="0"/>
        <v>Senior</v>
      </c>
    </row>
    <row r="8" spans="3:12">
      <c r="C8" s="27" t="s">
        <v>6</v>
      </c>
      <c r="D8" s="27">
        <v>63000</v>
      </c>
      <c r="E8" s="10" t="str">
        <f t="shared" si="0"/>
        <v>Junior Level</v>
      </c>
      <c r="I8" s="35"/>
      <c r="J8" s="35"/>
      <c r="K8" s="35"/>
      <c r="L8" s="35"/>
    </row>
    <row r="9" spans="3:5">
      <c r="C9" s="27" t="s">
        <v>7</v>
      </c>
      <c r="D9" s="27">
        <v>39000</v>
      </c>
      <c r="E9" s="10" t="str">
        <f t="shared" si="0"/>
        <v>Entry-Level</v>
      </c>
    </row>
    <row r="10" spans="3:11">
      <c r="C10" s="27" t="s">
        <v>8</v>
      </c>
      <c r="D10" s="27">
        <v>110000</v>
      </c>
      <c r="E10" s="10" t="str">
        <f t="shared" si="0"/>
        <v>Senior</v>
      </c>
      <c r="I10" s="13"/>
      <c r="J10" s="13"/>
      <c r="K10" s="13"/>
    </row>
    <row r="11" spans="3:5">
      <c r="C11" s="27" t="s">
        <v>9</v>
      </c>
      <c r="D11" s="27">
        <v>55000</v>
      </c>
      <c r="E11" s="10" t="str">
        <f t="shared" si="0"/>
        <v>Junior Level</v>
      </c>
    </row>
    <row r="12" spans="3:5">
      <c r="C12" s="27" t="s">
        <v>10</v>
      </c>
      <c r="D12" s="27">
        <v>81000</v>
      </c>
      <c r="E12" s="10" t="str">
        <f t="shared" si="0"/>
        <v>Mid-Level</v>
      </c>
    </row>
    <row r="13" spans="3:5">
      <c r="C13" s="27" t="s">
        <v>11</v>
      </c>
      <c r="D13" s="27">
        <v>42000</v>
      </c>
      <c r="E13" s="10" t="str">
        <f t="shared" si="0"/>
        <v>Entry-Level</v>
      </c>
    </row>
    <row r="14" spans="3:5">
      <c r="C14" s="27" t="s">
        <v>12</v>
      </c>
      <c r="D14" s="27">
        <v>68000</v>
      </c>
      <c r="E14" s="10" t="str">
        <f t="shared" si="0"/>
        <v>Junior Level</v>
      </c>
    </row>
  </sheetData>
  <mergeCells count="3">
    <mergeCell ref="I2:N2"/>
    <mergeCell ref="C3:E3"/>
    <mergeCell ref="I10:K10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2"/>
  <sheetViews>
    <sheetView workbookViewId="0">
      <selection activeCell="E16" sqref="E15:E16"/>
    </sheetView>
  </sheetViews>
  <sheetFormatPr defaultColWidth="9" defaultRowHeight="14.25"/>
  <cols>
    <col min="3" max="3" width="13.5" customWidth="1"/>
    <col min="4" max="4" width="11.5"/>
    <col min="5" max="5" width="11.875" customWidth="1"/>
    <col min="6" max="6" width="23.375" customWidth="1"/>
    <col min="10" max="10" width="11.5"/>
    <col min="11" max="11" width="15" customWidth="1"/>
    <col min="12" max="12" width="22.875" customWidth="1"/>
  </cols>
  <sheetData>
    <row r="3" ht="15" spans="3:12">
      <c r="C3" s="13" t="s">
        <v>42</v>
      </c>
      <c r="D3" s="13"/>
      <c r="E3" s="13"/>
      <c r="F3" s="13"/>
      <c r="I3" s="13" t="s">
        <v>42</v>
      </c>
      <c r="J3" s="13"/>
      <c r="K3" s="13"/>
      <c r="L3" s="13"/>
    </row>
    <row r="4" ht="15.75" spans="3:12">
      <c r="C4" s="3" t="s">
        <v>22</v>
      </c>
      <c r="D4" s="4" t="s">
        <v>23</v>
      </c>
      <c r="E4" s="4" t="s">
        <v>43</v>
      </c>
      <c r="F4" s="5" t="s">
        <v>44</v>
      </c>
      <c r="I4" s="18" t="s">
        <v>22</v>
      </c>
      <c r="J4" s="19" t="s">
        <v>23</v>
      </c>
      <c r="K4" s="19" t="s">
        <v>45</v>
      </c>
      <c r="L4" s="20" t="s">
        <v>46</v>
      </c>
    </row>
    <row r="5" spans="3:12">
      <c r="C5" s="14" t="s">
        <v>25</v>
      </c>
      <c r="D5" s="15">
        <v>52500</v>
      </c>
      <c r="E5" s="16">
        <v>5</v>
      </c>
      <c r="F5" s="17">
        <f>IFERROR(D5/E5,0)</f>
        <v>10500</v>
      </c>
      <c r="I5" s="21" t="s">
        <v>25</v>
      </c>
      <c r="J5" s="22">
        <v>52500</v>
      </c>
      <c r="K5" s="23">
        <v>5</v>
      </c>
      <c r="L5" s="24">
        <f>IFERROR(J5/K5,"N/A")</f>
        <v>10500</v>
      </c>
    </row>
    <row r="6" spans="3:12">
      <c r="C6" s="14" t="s">
        <v>26</v>
      </c>
      <c r="D6" s="15">
        <v>26400</v>
      </c>
      <c r="E6" s="16">
        <v>12</v>
      </c>
      <c r="F6" s="17">
        <f>IFERROR(D6/E6,0)</f>
        <v>2200</v>
      </c>
      <c r="I6" s="25" t="s">
        <v>26</v>
      </c>
      <c r="J6" s="26">
        <v>26400</v>
      </c>
      <c r="K6" s="27">
        <v>12</v>
      </c>
      <c r="L6" s="28">
        <f t="shared" ref="L6:L12" si="0">IFERROR(J6/K6,"N/A")</f>
        <v>2200</v>
      </c>
    </row>
    <row r="7" spans="3:12">
      <c r="C7" s="14" t="s">
        <v>29</v>
      </c>
      <c r="D7" s="15">
        <v>1750</v>
      </c>
      <c r="E7" s="16">
        <v>70</v>
      </c>
      <c r="F7" s="17">
        <f>IFERROR(D7/E7,0)</f>
        <v>25</v>
      </c>
      <c r="I7" s="25" t="s">
        <v>29</v>
      </c>
      <c r="J7" s="26">
        <v>1750</v>
      </c>
      <c r="K7" s="27">
        <v>70</v>
      </c>
      <c r="L7" s="28">
        <f t="shared" si="0"/>
        <v>25</v>
      </c>
    </row>
    <row r="8" spans="3:12">
      <c r="C8" s="14" t="s">
        <v>27</v>
      </c>
      <c r="D8" s="15">
        <v>5400</v>
      </c>
      <c r="E8" s="16">
        <v>0</v>
      </c>
      <c r="F8" s="17">
        <f>IFERROR(D8/E8,0)</f>
        <v>0</v>
      </c>
      <c r="I8" s="25" t="s">
        <v>27</v>
      </c>
      <c r="J8" s="26">
        <v>5400</v>
      </c>
      <c r="K8" s="27">
        <v>0</v>
      </c>
      <c r="L8" s="28" t="str">
        <f t="shared" si="0"/>
        <v>N/A</v>
      </c>
    </row>
    <row r="9" spans="9:12">
      <c r="I9" s="25" t="s">
        <v>28</v>
      </c>
      <c r="J9" s="26">
        <v>8100</v>
      </c>
      <c r="K9" s="27">
        <v>18</v>
      </c>
      <c r="L9" s="28">
        <f t="shared" si="0"/>
        <v>450</v>
      </c>
    </row>
    <row r="10" spans="9:12">
      <c r="I10" s="25" t="s">
        <v>32</v>
      </c>
      <c r="J10" s="26">
        <v>4600</v>
      </c>
      <c r="K10" s="27">
        <v>20</v>
      </c>
      <c r="L10" s="28">
        <f t="shared" si="0"/>
        <v>230</v>
      </c>
    </row>
    <row r="11" spans="9:12">
      <c r="I11" s="25" t="s">
        <v>34</v>
      </c>
      <c r="J11" s="26">
        <v>7400</v>
      </c>
      <c r="K11" s="27">
        <v>0</v>
      </c>
      <c r="L11" s="28" t="str">
        <f t="shared" si="0"/>
        <v>N/A</v>
      </c>
    </row>
    <row r="12" ht="15" spans="9:12">
      <c r="I12" s="29" t="s">
        <v>33</v>
      </c>
      <c r="J12" s="30">
        <v>13200</v>
      </c>
      <c r="K12" s="31">
        <v>12</v>
      </c>
      <c r="L12" s="32">
        <f t="shared" si="0"/>
        <v>1100</v>
      </c>
    </row>
  </sheetData>
  <mergeCells count="2">
    <mergeCell ref="C3:F3"/>
    <mergeCell ref="I3:L3"/>
  </mergeCells>
  <pageMargins left="0.75" right="0.75" top="1" bottom="1" header="0.5" footer="0.5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3"/>
  <sheetViews>
    <sheetView workbookViewId="0">
      <selection activeCell="L9" sqref="L9"/>
    </sheetView>
  </sheetViews>
  <sheetFormatPr defaultColWidth="9" defaultRowHeight="14.25" outlineLevelCol="6"/>
  <cols>
    <col min="3" max="3" width="13.375" customWidth="1"/>
    <col min="4" max="4" width="11.5"/>
    <col min="5" max="5" width="11.625" customWidth="1"/>
    <col min="6" max="6" width="16" customWidth="1"/>
    <col min="7" max="7" width="12.875" customWidth="1"/>
  </cols>
  <sheetData>
    <row r="3" spans="3:7">
      <c r="C3" s="1" t="s">
        <v>47</v>
      </c>
      <c r="D3" s="2"/>
      <c r="E3" s="2"/>
      <c r="F3" s="2"/>
      <c r="G3" s="2"/>
    </row>
    <row r="4" ht="30" spans="3:7">
      <c r="C4" s="3" t="s">
        <v>48</v>
      </c>
      <c r="D4" s="4" t="s">
        <v>23</v>
      </c>
      <c r="E4" s="4" t="s">
        <v>49</v>
      </c>
      <c r="F4" s="5" t="s">
        <v>50</v>
      </c>
      <c r="G4" s="3" t="s">
        <v>51</v>
      </c>
    </row>
    <row r="5" spans="3:7">
      <c r="C5" s="6" t="s">
        <v>8</v>
      </c>
      <c r="D5" s="7">
        <v>30000</v>
      </c>
      <c r="E5" s="8">
        <v>25000</v>
      </c>
      <c r="F5" s="9">
        <f>IFERROR(D5/E5,"No Target")</f>
        <v>1.2</v>
      </c>
      <c r="G5" s="10" t="str">
        <f t="shared" ref="G5:G13" si="0">IF(E5=0,"No Target",IF(F5&gt;=100%,"Target met",IF(F5&gt;=90%,"Near Target","Below Target")))</f>
        <v>Target met</v>
      </c>
    </row>
    <row r="6" spans="3:7">
      <c r="C6" s="6" t="s">
        <v>5</v>
      </c>
      <c r="D6" s="7">
        <v>25000</v>
      </c>
      <c r="E6" s="8">
        <v>25000</v>
      </c>
      <c r="F6" s="9">
        <f>IFERROR(D6/E6,"No Target")</f>
        <v>1</v>
      </c>
      <c r="G6" s="10" t="str">
        <f t="shared" si="0"/>
        <v>Target met</v>
      </c>
    </row>
    <row r="7" spans="3:7">
      <c r="C7" s="6" t="s">
        <v>10</v>
      </c>
      <c r="D7" s="7">
        <v>21000</v>
      </c>
      <c r="E7" s="8">
        <v>20000</v>
      </c>
      <c r="F7" s="9">
        <f>IFERROR(D7/E7,"No Target")</f>
        <v>1.05</v>
      </c>
      <c r="G7" s="10" t="str">
        <f t="shared" si="0"/>
        <v>Target met</v>
      </c>
    </row>
    <row r="8" spans="3:7">
      <c r="C8" s="6" t="s">
        <v>6</v>
      </c>
      <c r="D8" s="7">
        <v>19500</v>
      </c>
      <c r="E8" s="8">
        <v>20000</v>
      </c>
      <c r="F8" s="9">
        <f>IFERROR(D8/E8,"No Target")</f>
        <v>0.975</v>
      </c>
      <c r="G8" s="10" t="str">
        <f t="shared" si="0"/>
        <v>Near Target</v>
      </c>
    </row>
    <row r="9" spans="3:7">
      <c r="C9" s="6" t="s">
        <v>3</v>
      </c>
      <c r="D9" s="7">
        <v>18000</v>
      </c>
      <c r="E9" s="8">
        <v>15000</v>
      </c>
      <c r="F9" s="9">
        <f>IFERROR(D9/E9,"No Target")</f>
        <v>1.2</v>
      </c>
      <c r="G9" s="10" t="str">
        <f t="shared" si="0"/>
        <v>Target met</v>
      </c>
    </row>
    <row r="10" spans="3:7">
      <c r="C10" s="6" t="s">
        <v>9</v>
      </c>
      <c r="D10" s="7">
        <v>14000</v>
      </c>
      <c r="E10" s="8">
        <v>14000</v>
      </c>
      <c r="F10" s="9">
        <f>IFERROR(D10/E10,"No Target")</f>
        <v>1</v>
      </c>
      <c r="G10" s="10" t="str">
        <f t="shared" si="0"/>
        <v>Target met</v>
      </c>
    </row>
    <row r="11" spans="3:7">
      <c r="C11" s="6" t="s">
        <v>4</v>
      </c>
      <c r="D11" s="7">
        <v>12000</v>
      </c>
      <c r="E11" s="8">
        <v>15000</v>
      </c>
      <c r="F11" s="9">
        <f>IFERROR(D11/E11,"No Target")</f>
        <v>0.8</v>
      </c>
      <c r="G11" s="10" t="str">
        <f t="shared" si="0"/>
        <v>Below Target</v>
      </c>
    </row>
    <row r="12" spans="3:7">
      <c r="C12" s="6" t="s">
        <v>7</v>
      </c>
      <c r="D12" s="7">
        <v>9000</v>
      </c>
      <c r="E12" s="8">
        <v>15000</v>
      </c>
      <c r="F12" s="9">
        <f>IFERROR(D12/E12,"No Target")</f>
        <v>0.6</v>
      </c>
      <c r="G12" s="10" t="str">
        <f t="shared" si="0"/>
        <v>Below Target</v>
      </c>
    </row>
    <row r="13" spans="3:7">
      <c r="C13" s="11" t="s">
        <v>52</v>
      </c>
      <c r="D13" s="12">
        <v>5000</v>
      </c>
      <c r="E13" s="11">
        <v>0</v>
      </c>
      <c r="F13" s="9" t="str">
        <f>IFERROR(D13/E13,"No Target")</f>
        <v>No Target</v>
      </c>
      <c r="G13" s="10" t="str">
        <f t="shared" si="0"/>
        <v>No Target</v>
      </c>
    </row>
  </sheetData>
  <sortState ref="C5:G13">
    <sortCondition ref="D5" descending="1"/>
  </sortState>
  <mergeCells count="1">
    <mergeCell ref="C3:G3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IF Practice</vt:lpstr>
      <vt:lpstr>Employee Bonus</vt:lpstr>
      <vt:lpstr>Sales Categories</vt:lpstr>
      <vt:lpstr>Nested IF Practice</vt:lpstr>
      <vt:lpstr>Salary Level</vt:lpstr>
      <vt:lpstr>IFERROR</vt:lpstr>
      <vt:lpstr>Sales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Lenovo</cp:lastModifiedBy>
  <cp:revision>1</cp:revision>
  <dcterms:created xsi:type="dcterms:W3CDTF">2026-08-01T16:26:00Z</dcterms:created>
  <dcterms:modified xsi:type="dcterms:W3CDTF">2026-08-09T21:00:10Z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63DF799F9B3D4FC7815584A69CB8A27C_13</vt:lpwstr>
  </property>
</Properties>
</file>