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2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ATA ANALYTICS\AI training Excel\"/>
    </mc:Choice>
  </mc:AlternateContent>
  <xr:revisionPtr revIDLastSave="0" documentId="8_{985C022C-E9B5-4305-A025-348246664723}" xr6:coauthVersionLast="47" xr6:coauthVersionMax="47" xr10:uidLastSave="{00000000-0000-0000-0000-000000000000}"/>
  <bookViews>
    <workbookView xWindow="-120" yWindow="-120" windowWidth="20640" windowHeight="11040" firstSheet="4" activeTab="7" xr2:uid="{BAA51774-322B-42B1-BD42-9428036B6B65}"/>
  </bookViews>
  <sheets>
    <sheet name="Pivot - Student" sheetId="6" r:id="rId1"/>
    <sheet name="Student Performance" sheetId="1" r:id="rId2"/>
    <sheet name="Employee-Pivot" sheetId="7" r:id="rId3"/>
    <sheet name="Employee Performance" sheetId="5" r:id="rId4"/>
    <sheet name="Employee Data" sheetId="2" r:id="rId5"/>
    <sheet name="Sales-Pivot" sheetId="8" r:id="rId6"/>
    <sheet name="Sales Analysis" sheetId="3" r:id="rId7"/>
    <sheet name="Management Summary" sheetId="4" r:id="rId8"/>
  </sheets>
  <calcPr calcId="191029"/>
  <pivotCaches>
    <pivotCache cacheId="5" r:id="rId9"/>
    <pivotCache cacheId="10" r:id="rId10"/>
    <pivotCache cacheId="15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1" i="6" l="1"/>
  <c r="J9" i="6"/>
  <c r="K13" i="5"/>
  <c r="K12" i="5"/>
  <c r="K11" i="5"/>
  <c r="K10" i="5"/>
  <c r="K9" i="5"/>
  <c r="K8" i="5"/>
  <c r="K7" i="5"/>
  <c r="K6" i="5"/>
  <c r="K5" i="5"/>
  <c r="K4" i="5"/>
  <c r="P21" i="1"/>
  <c r="P20" i="1"/>
  <c r="P19" i="1"/>
  <c r="P16" i="1"/>
  <c r="P15" i="1"/>
  <c r="P14" i="1"/>
  <c r="P11" i="1"/>
  <c r="P10" i="1"/>
  <c r="P9" i="1"/>
  <c r="E15" i="3"/>
  <c r="E14" i="3"/>
  <c r="E13" i="3"/>
  <c r="E12" i="3"/>
  <c r="F6" i="3"/>
  <c r="F7" i="3"/>
  <c r="F8" i="3"/>
  <c r="F9" i="3"/>
  <c r="F5" i="3"/>
  <c r="E22" i="2"/>
  <c r="E26" i="2"/>
  <c r="E25" i="2"/>
  <c r="E24" i="2"/>
  <c r="E23" i="2"/>
  <c r="F19" i="2"/>
  <c r="H19" i="2"/>
  <c r="I19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4" i="2"/>
  <c r="I4" i="2" s="1"/>
  <c r="M7" i="1"/>
  <c r="M8" i="1"/>
  <c r="M9" i="1"/>
  <c r="M10" i="1"/>
  <c r="M11" i="1"/>
  <c r="M12" i="1"/>
  <c r="M13" i="1"/>
  <c r="M14" i="1"/>
  <c r="M15" i="1"/>
  <c r="M6" i="1"/>
  <c r="L7" i="1"/>
  <c r="L8" i="1"/>
  <c r="L9" i="1"/>
  <c r="L10" i="1"/>
  <c r="L11" i="1"/>
  <c r="L12" i="1"/>
  <c r="L13" i="1"/>
  <c r="L14" i="1"/>
  <c r="L15" i="1"/>
  <c r="L6" i="1"/>
  <c r="K7" i="1"/>
  <c r="K8" i="1"/>
  <c r="K9" i="1"/>
  <c r="K10" i="1"/>
  <c r="K11" i="1"/>
  <c r="K12" i="1"/>
  <c r="K13" i="1"/>
  <c r="K14" i="1"/>
  <c r="K15" i="1"/>
  <c r="K6" i="1"/>
  <c r="J7" i="1"/>
  <c r="J8" i="1"/>
  <c r="J9" i="1"/>
  <c r="J10" i="1"/>
  <c r="J11" i="1"/>
  <c r="J12" i="1"/>
  <c r="J13" i="1"/>
  <c r="J14" i="1"/>
  <c r="J15" i="1"/>
  <c r="J6" i="1"/>
</calcChain>
</file>

<file path=xl/sharedStrings.xml><?xml version="1.0" encoding="utf-8"?>
<sst xmlns="http://schemas.openxmlformats.org/spreadsheetml/2006/main" count="217" uniqueCount="136">
  <si>
    <t>Student ID</t>
  </si>
  <si>
    <t>Name</t>
  </si>
  <si>
    <t>Class</t>
  </si>
  <si>
    <t>Math</t>
  </si>
  <si>
    <t>English</t>
  </si>
  <si>
    <t>Science</t>
  </si>
  <si>
    <t>John</t>
  </si>
  <si>
    <t>Grade 6</t>
  </si>
  <si>
    <t>Mary</t>
  </si>
  <si>
    <t>David</t>
  </si>
  <si>
    <t>Grade 5</t>
  </si>
  <si>
    <t>Sarah</t>
  </si>
  <si>
    <t>James</t>
  </si>
  <si>
    <t>Grace</t>
  </si>
  <si>
    <t>Daniel</t>
  </si>
  <si>
    <t>Ruth</t>
  </si>
  <si>
    <t>Peter</t>
  </si>
  <si>
    <t>Esther</t>
  </si>
  <si>
    <t>Employee ID</t>
  </si>
  <si>
    <t>Department</t>
  </si>
  <si>
    <t>Years of Service</t>
  </si>
  <si>
    <t>John Smith</t>
  </si>
  <si>
    <t>Bukky Wright</t>
  </si>
  <si>
    <t>Emmanuel Segun</t>
  </si>
  <si>
    <t>Opeoluwa Peters</t>
  </si>
  <si>
    <t>Segun Fadimu</t>
  </si>
  <si>
    <t>Tola Ibidapo</t>
  </si>
  <si>
    <t>Dolapo Esse</t>
  </si>
  <si>
    <t>Francis Okeola</t>
  </si>
  <si>
    <t>Kunle Badru</t>
  </si>
  <si>
    <t>Akanbi Faith</t>
  </si>
  <si>
    <t>Joshua Simpson</t>
  </si>
  <si>
    <t>Bright Asemota</t>
  </si>
  <si>
    <t>Tope Young</t>
  </si>
  <si>
    <t>Effiong Calistos</t>
  </si>
  <si>
    <t>Douglas Dare</t>
  </si>
  <si>
    <t>Works</t>
  </si>
  <si>
    <t>Finance</t>
  </si>
  <si>
    <t>Helath</t>
  </si>
  <si>
    <t>Maintainance</t>
  </si>
  <si>
    <t>Education</t>
  </si>
  <si>
    <t>Health</t>
  </si>
  <si>
    <t>Warehouse</t>
  </si>
  <si>
    <t>Salary ($)</t>
  </si>
  <si>
    <t>Total</t>
  </si>
  <si>
    <t>Average</t>
  </si>
  <si>
    <t>Highest Score</t>
  </si>
  <si>
    <t>Lowest Score</t>
  </si>
  <si>
    <t>Annual Salary</t>
  </si>
  <si>
    <t>Bonus</t>
  </si>
  <si>
    <t>Total Payroll</t>
  </si>
  <si>
    <t>Average Salary</t>
  </si>
  <si>
    <t>Highest Salary</t>
  </si>
  <si>
    <t>Lowest Salary</t>
  </si>
  <si>
    <t>Number of Employees</t>
  </si>
  <si>
    <t>S</t>
  </si>
  <si>
    <t>Product</t>
  </si>
  <si>
    <t>Units Sold</t>
  </si>
  <si>
    <t>Unit Price</t>
  </si>
  <si>
    <t>Laptop</t>
  </si>
  <si>
    <t>Mouse</t>
  </si>
  <si>
    <t>Keyboard</t>
  </si>
  <si>
    <t>Monitor</t>
  </si>
  <si>
    <t>Printer</t>
  </si>
  <si>
    <t>Revenue</t>
  </si>
  <si>
    <t>Total Revenue</t>
  </si>
  <si>
    <t>Highest Revenue</t>
  </si>
  <si>
    <t>Lowest Revenue</t>
  </si>
  <si>
    <t>Average Revenue</t>
  </si>
  <si>
    <t>Number of Grade 5</t>
  </si>
  <si>
    <t>Number of Grade 6</t>
  </si>
  <si>
    <t>Above 85 in Math</t>
  </si>
  <si>
    <t>Total Math marks for Grade 5</t>
  </si>
  <si>
    <t>Total Math marks for Grade 6</t>
  </si>
  <si>
    <t>Total Science marks for Grade 5</t>
  </si>
  <si>
    <t>Average Math score for Grade 5</t>
  </si>
  <si>
    <t>Average Math score for Grade 6</t>
  </si>
  <si>
    <t>Average Science score for Grade 6</t>
  </si>
  <si>
    <t>Employee</t>
  </si>
  <si>
    <t>Salary</t>
  </si>
  <si>
    <t>Rating</t>
  </si>
  <si>
    <t>HR</t>
  </si>
  <si>
    <t>IT</t>
  </si>
  <si>
    <t>Number of employees in HR</t>
  </si>
  <si>
    <t>Number of employees in IT</t>
  </si>
  <si>
    <t>Total salary paid to HR</t>
  </si>
  <si>
    <t>Total salary paid to IT</t>
  </si>
  <si>
    <t>Average salary in Finance</t>
  </si>
  <si>
    <t>Average rating in HR</t>
  </si>
  <si>
    <t>Business Insight:</t>
  </si>
  <si>
    <t xml:space="preserve">The department with highest average salary </t>
  </si>
  <si>
    <t>The department with the highest average rating</t>
  </si>
  <si>
    <t>The department with the lowest average  salary</t>
  </si>
  <si>
    <t>average salary in HR</t>
  </si>
  <si>
    <t>average salary in  IT</t>
  </si>
  <si>
    <t>Average rating in IT</t>
  </si>
  <si>
    <t>Average rating in Finance</t>
  </si>
  <si>
    <t>Row Labels</t>
  </si>
  <si>
    <t>Grand Total</t>
  </si>
  <si>
    <t>Average of Math</t>
  </si>
  <si>
    <t>Average of English</t>
  </si>
  <si>
    <t>Average of Science</t>
  </si>
  <si>
    <t>Count of Student ID</t>
  </si>
  <si>
    <t>Average of Salary</t>
  </si>
  <si>
    <t>Average of Rating</t>
  </si>
  <si>
    <t>Count of Employee</t>
  </si>
  <si>
    <t>Question:</t>
  </si>
  <si>
    <t>Which class has the higher average Math score?</t>
  </si>
  <si>
    <t>Answer:</t>
  </si>
  <si>
    <t>How many students are in each class?</t>
  </si>
  <si>
    <t>Which department pays the highest average salary?</t>
  </si>
  <si>
    <t>Which department has the highest average performance rating?</t>
  </si>
  <si>
    <t>Which department has the largest workforce?</t>
  </si>
  <si>
    <t>Which product generated the highest revenue?</t>
  </si>
  <si>
    <t>Highest performing class</t>
  </si>
  <si>
    <t>Lowest performing class</t>
  </si>
  <si>
    <t>Number of Grade 5 students</t>
  </si>
  <si>
    <t>Number of Grade 6 students</t>
  </si>
  <si>
    <t>Student Data</t>
  </si>
  <si>
    <t>Employee Data</t>
  </si>
  <si>
    <t>Highest paying department</t>
  </si>
  <si>
    <t>Largest department</t>
  </si>
  <si>
    <t>Highest rated department</t>
  </si>
  <si>
    <t>Sales Data</t>
  </si>
  <si>
    <t>Best-selling product</t>
  </si>
  <si>
    <t>Lowest revenue product</t>
  </si>
  <si>
    <t>Total revenue</t>
  </si>
  <si>
    <t>MANAGEMENT SUMMARY</t>
  </si>
  <si>
    <t>Total Score for Grade 5</t>
  </si>
  <si>
    <t>Total Score for Grade 6</t>
  </si>
  <si>
    <t>Business Insight</t>
  </si>
  <si>
    <t>The deoartment with the highest salary is IT</t>
  </si>
  <si>
    <t>The Lowest revenue generating prosuct is Mouse</t>
  </si>
  <si>
    <t>The department with the highest rating is IT</t>
  </si>
  <si>
    <t>Grade 5 students are performing better than grade 6 students in Math, English and Sciences.</t>
  </si>
  <si>
    <t>The largest department is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</si>
</sst>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_(&quot;$&quot;* #,##0_);_(&quot;$&quot;* \(#,##0\);_(&quot;$&quot;* &quot;-&quot;??_);_(@_)"/>
    <numFmt numFmtId="176" formatCode="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/>
    <xf numFmtId="0" fontId="0" fillId="0" borderId="7" xfId="0" applyBorder="1"/>
    <xf numFmtId="0" fontId="0" fillId="0" borderId="4" xfId="0" applyBorder="1"/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/>
    </xf>
    <xf numFmtId="0" fontId="0" fillId="0" borderId="5" xfId="0" applyBorder="1"/>
    <xf numFmtId="165" fontId="0" fillId="0" borderId="6" xfId="0" applyNumberFormat="1" applyBorder="1"/>
    <xf numFmtId="0" fontId="2" fillId="0" borderId="3" xfId="0" applyFont="1" applyBorder="1" applyAlignment="1">
      <alignment horizontal="right" vertical="center" wrapText="1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6" xfId="0" applyBorder="1"/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2" xfId="0" applyBorder="1"/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 wrapText="1"/>
    </xf>
    <xf numFmtId="165" fontId="0" fillId="0" borderId="8" xfId="1" applyNumberFormat="1" applyFont="1" applyBorder="1" applyAlignment="1">
      <alignment horizontal="center" vertical="center" wrapText="1"/>
    </xf>
    <xf numFmtId="165" fontId="0" fillId="0" borderId="6" xfId="1" applyNumberFormat="1" applyFont="1" applyBorder="1" applyAlignment="1">
      <alignment horizontal="center" vertical="center"/>
    </xf>
    <xf numFmtId="165" fontId="0" fillId="0" borderId="6" xfId="1" applyNumberFormat="1" applyFont="1" applyBorder="1"/>
    <xf numFmtId="165" fontId="0" fillId="0" borderId="9" xfId="1" applyNumberFormat="1" applyFon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165" fontId="0" fillId="0" borderId="1" xfId="1" applyNumberFormat="1" applyFont="1" applyBorder="1" applyAlignment="1">
      <alignment horizontal="right" vertical="center" wrapText="1"/>
    </xf>
    <xf numFmtId="165" fontId="0" fillId="0" borderId="8" xfId="1" applyNumberFormat="1" applyFont="1" applyBorder="1" applyAlignment="1">
      <alignment horizontal="right" vertical="center" wrapText="1"/>
    </xf>
    <xf numFmtId="0" fontId="0" fillId="0" borderId="1" xfId="0" pivotButton="1" applyBorder="1"/>
    <xf numFmtId="165" fontId="0" fillId="0" borderId="1" xfId="0" applyNumberFormat="1" applyBorder="1"/>
    <xf numFmtId="165" fontId="0" fillId="0" borderId="9" xfId="1" applyNumberFormat="1" applyFont="1" applyBorder="1"/>
    <xf numFmtId="176" fontId="0" fillId="0" borderId="0" xfId="0" applyNumberForma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165" fontId="0" fillId="0" borderId="1" xfId="1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left"/>
    </xf>
  </cellXfs>
  <cellStyles count="2">
    <cellStyle name="Currency" xfId="1" builtinId="4"/>
    <cellStyle name="Normal" xfId="0" builtinId="0"/>
  </cellStyles>
  <dxfs count="107">
    <dxf>
      <numFmt numFmtId="2" formatCode="0.00"/>
    </dxf>
    <dxf>
      <numFmt numFmtId="176" formatCode="0.0"/>
    </dxf>
    <dxf>
      <numFmt numFmtId="2" formatCode="0.00"/>
    </dxf>
    <dxf>
      <numFmt numFmtId="175" formatCode="0.000"/>
    </dxf>
    <dxf>
      <numFmt numFmtId="175" formatCode="0.000"/>
    </dxf>
    <dxf>
      <numFmt numFmtId="174" formatCode="0.0000"/>
    </dxf>
    <dxf>
      <numFmt numFmtId="174" formatCode="0.0000"/>
    </dxf>
    <dxf>
      <numFmt numFmtId="173" formatCode="0.00000"/>
    </dxf>
    <dxf>
      <numFmt numFmtId="173" formatCode="0.00000"/>
    </dxf>
    <dxf>
      <numFmt numFmtId="172" formatCode="0.000000"/>
    </dxf>
    <dxf>
      <numFmt numFmtId="172" formatCode="0.000000"/>
    </dxf>
    <dxf>
      <numFmt numFmtId="171" formatCode="0.0000000"/>
    </dxf>
    <dxf>
      <numFmt numFmtId="171" formatCode="0.0000000"/>
    </dxf>
    <dxf>
      <numFmt numFmtId="177" formatCode="0.00000000"/>
    </dxf>
    <dxf>
      <numFmt numFmtId="177" formatCode="0.00000000"/>
    </dxf>
    <dxf>
      <numFmt numFmtId="165" formatCode="_(&quot;$&quot;* #,##0_);_(&quot;$&quot;* \(#,##0\);_(&quot;$&quot;* &quot;-&quot;??_);_(@_)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0" formatCode="_(&quot;$&quot;* #,##0.0_);_(&quot;$&quot;* \(#,##0.0\);_(&quot;$&quot;* &quot;-&quot;??_);_(@_)"/>
    </dxf>
    <dxf>
      <numFmt numFmtId="165" formatCode="_(&quot;$&quot;* #,##0_);_(&quot;$&quot;* \(#,##0\);_(&quot;$&quot;* &quot;-&quot;??_);_(@_)"/>
    </dxf>
    <dxf>
      <numFmt numFmtId="170" formatCode="_(&quot;$&quot;* #,##0.0_);_(&quot;$&quot;* \(#,##0.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5" formatCode="_(&quot;$&quot;* #,##0_);_(&quot;$&quot;* \(#,##0\);_(&quot;$&quot;* &quot;-&quot;??_);_(@_)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(&quot;$&quot;* #,##0_);_(&quot;$&quot;* \(#,##0\);_(&quot;$&quot;* &quot;-&quot;??_);_(@_)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(&quot;$&quot;* #,##0_);_(&quot;$&quot;* \(#,##0\);_(&quot;$&quot;* &quot;-&quot;??_);_(@_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(&quot;$&quot;* #,##0_);_(&quot;$&quot;* \(#,##0\);_(&quot;$&quot;* &quot;-&quot;??_);_(@_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(&quot;$&quot;* #,##0_);_(&quot;$&quot;* \(#,##0\);_(&quot;$&quot;* &quot;-&quot;??_);_(@_)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5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numFmt numFmtId="165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[Complete Day 4 - PivotTables and PivotCharts.xlsx]Sales-Pivot!PivotTable5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'Sales-Pivot'!$C$3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'Sales-Pivot'!$B$4:$B$9</c:f>
              <c:strCache>
                <c:ptCount val="5"/>
                <c:pt idx="0">
                  <c:v>Laptop</c:v>
                </c:pt>
                <c:pt idx="1">
                  <c:v>Monitor</c:v>
                </c:pt>
                <c:pt idx="2">
                  <c:v>Printer</c:v>
                </c:pt>
                <c:pt idx="3">
                  <c:v>Keyboard</c:v>
                </c:pt>
                <c:pt idx="4">
                  <c:v>Mouse</c:v>
                </c:pt>
              </c:strCache>
            </c:strRef>
          </c:cat>
          <c:val>
            <c:numRef>
              <c:f>'Sales-Pivot'!$C$4:$C$9</c:f>
              <c:numCache>
                <c:formatCode>_("$"* #,##0_);_("$"* \(#,##0\);_("$"* "-"??_);_(@_)</c:formatCode>
                <c:ptCount val="5"/>
                <c:pt idx="0">
                  <c:v>52500</c:v>
                </c:pt>
                <c:pt idx="1">
                  <c:v>11400</c:v>
                </c:pt>
                <c:pt idx="2">
                  <c:v>9600</c:v>
                </c:pt>
                <c:pt idx="3">
                  <c:v>4500</c:v>
                </c:pt>
                <c:pt idx="4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6A-4BF9-B89C-00B9649D4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81546224"/>
        <c:axId val="805644479"/>
        <c:axId val="0"/>
      </c:bar3DChart>
      <c:catAx>
        <c:axId val="88154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644479"/>
        <c:crosses val="autoZero"/>
        <c:auto val="1"/>
        <c:lblAlgn val="ctr"/>
        <c:lblOffset val="100"/>
        <c:noMultiLvlLbl val="0"/>
      </c:catAx>
      <c:valAx>
        <c:axId val="80564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54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[Complete Day 4 - PivotTables and PivotCharts.xlsx]Sales-Pivot!PivotTable5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rgbClr val="0E2841"/>
                </a:solidFill>
              </a:rPr>
              <a:t>Sales Analysis</a:t>
            </a:r>
          </a:p>
        </c:rich>
      </c:tx>
      <c:layout>
        <c:manualLayout>
          <c:xMode val="edge"/>
          <c:yMode val="edge"/>
          <c:x val="0.32339208213223963"/>
          <c:y val="5.25649187468587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'Sales-Pivot'!$C$3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'Sales-Pivot'!$B$4:$B$9</c:f>
              <c:strCache>
                <c:ptCount val="5"/>
                <c:pt idx="0">
                  <c:v>Laptop</c:v>
                </c:pt>
                <c:pt idx="1">
                  <c:v>Monitor</c:v>
                </c:pt>
                <c:pt idx="2">
                  <c:v>Printer</c:v>
                </c:pt>
                <c:pt idx="3">
                  <c:v>Keyboard</c:v>
                </c:pt>
                <c:pt idx="4">
                  <c:v>Mouse</c:v>
                </c:pt>
              </c:strCache>
            </c:strRef>
          </c:cat>
          <c:val>
            <c:numRef>
              <c:f>'Sales-Pivot'!$C$4:$C$9</c:f>
              <c:numCache>
                <c:formatCode>_("$"* #,##0_);_("$"* \(#,##0\);_("$"* "-"??_);_(@_)</c:formatCode>
                <c:ptCount val="5"/>
                <c:pt idx="0">
                  <c:v>52500</c:v>
                </c:pt>
                <c:pt idx="1">
                  <c:v>11400</c:v>
                </c:pt>
                <c:pt idx="2">
                  <c:v>9600</c:v>
                </c:pt>
                <c:pt idx="3">
                  <c:v>4500</c:v>
                </c:pt>
                <c:pt idx="4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3-4BB3-8FC7-5B0599E8F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881556432"/>
        <c:axId val="684095936"/>
        <c:axId val="0"/>
      </c:bar3DChart>
      <c:catAx>
        <c:axId val="881556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095936"/>
        <c:crosses val="autoZero"/>
        <c:auto val="1"/>
        <c:lblAlgn val="ctr"/>
        <c:lblOffset val="100"/>
        <c:noMultiLvlLbl val="0"/>
      </c:catAx>
      <c:valAx>
        <c:axId val="68409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55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1</xdr:row>
      <xdr:rowOff>180975</xdr:rowOff>
    </xdr:from>
    <xdr:to>
      <xdr:col>5</xdr:col>
      <xdr:colOff>2743200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49E378-8DF6-085A-53FB-5A58BD8C0C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2828924</xdr:colOff>
      <xdr:row>1</xdr:row>
      <xdr:rowOff>180975</xdr:rowOff>
    </xdr:from>
    <xdr:to>
      <xdr:col>12</xdr:col>
      <xdr:colOff>219074</xdr:colOff>
      <xdr:row>16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129E6A-F193-FC55-3D67-BA86E8EF9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37.099611574071" createdVersion="8" refreshedVersion="8" minRefreshableVersion="3" recordCount="10" xr:uid="{1B1BED42-4052-4E90-A601-0663E9DDF4FD}">
  <cacheSource type="worksheet">
    <worksheetSource name="Table1"/>
  </cacheSource>
  <cacheFields count="10">
    <cacheField name="Student ID" numFmtId="0">
      <sharedItems containsSemiMixedTypes="0" containsString="0" containsNumber="1" containsInteger="1" minValue="1001" maxValue="1010"/>
    </cacheField>
    <cacheField name="Name" numFmtId="0">
      <sharedItems/>
    </cacheField>
    <cacheField name="Class" numFmtId="0">
      <sharedItems count="2">
        <s v="Grade 6"/>
        <s v="Grade 5"/>
      </sharedItems>
    </cacheField>
    <cacheField name="Math" numFmtId="0">
      <sharedItems containsSemiMixedTypes="0" containsString="0" containsNumber="1" containsInteger="1" minValue="68" maxValue="95"/>
    </cacheField>
    <cacheField name="English" numFmtId="0">
      <sharedItems containsSemiMixedTypes="0" containsString="0" containsNumber="1" containsInteger="1" minValue="75" maxValue="93"/>
    </cacheField>
    <cacheField name="Science" numFmtId="0">
      <sharedItems containsSemiMixedTypes="0" containsString="0" containsNumber="1" containsInteger="1" minValue="76" maxValue="95"/>
    </cacheField>
    <cacheField name="Total" numFmtId="0">
      <sharedItems containsSemiMixedTypes="0" containsString="0" containsNumber="1" containsInteger="1" minValue="224" maxValue="278"/>
    </cacheField>
    <cacheField name="Average" numFmtId="2">
      <sharedItems containsSemiMixedTypes="0" containsString="0" containsNumber="1" minValue="74.666666666666671" maxValue="92.666666666666671"/>
    </cacheField>
    <cacheField name="Highest Score" numFmtId="0">
      <sharedItems containsSemiMixedTypes="0" containsString="0" containsNumber="1" containsInteger="1" minValue="81" maxValue="95"/>
    </cacheField>
    <cacheField name="Lowest Score" numFmtId="0">
      <sharedItems containsSemiMixedTypes="0" containsString="0" containsNumber="1" containsInteger="1" minValue="68" maxValue="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37.112550925929" createdVersion="8" refreshedVersion="8" minRefreshableVersion="3" recordCount="10" xr:uid="{A784F87F-E2ED-4E96-9D43-01E035C9D2B7}">
  <cacheSource type="worksheet">
    <worksheetSource name="Table9"/>
  </cacheSource>
  <cacheFields count="4">
    <cacheField name="Employee" numFmtId="0">
      <sharedItems count="10">
        <s v="John"/>
        <s v="Mary"/>
        <s v="David"/>
        <s v="Sarah"/>
        <s v="James"/>
        <s v="Grace"/>
        <s v="Peter"/>
        <s v="Ruth"/>
        <s v="Daniel"/>
        <s v="Esther"/>
      </sharedItems>
    </cacheField>
    <cacheField name="Department" numFmtId="0">
      <sharedItems count="3">
        <s v="HR"/>
        <s v="IT"/>
        <s v="Finance"/>
      </sharedItems>
    </cacheField>
    <cacheField name="Salary" numFmtId="165">
      <sharedItems containsSemiMixedTypes="0" containsString="0" containsNumber="1" containsInteger="1" minValue="5500" maxValue="9000"/>
    </cacheField>
    <cacheField name="Rating" numFmtId="0">
      <sharedItems containsSemiMixedTypes="0" containsString="0" containsNumber="1" containsInteger="1" minValue="3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37.123303587963" createdVersion="8" refreshedVersion="8" minRefreshableVersion="3" recordCount="5" xr:uid="{273F4A7D-D819-4F52-A9AE-F8A4D187F747}">
  <cacheSource type="worksheet">
    <worksheetSource name="Table6"/>
  </cacheSource>
  <cacheFields count="4">
    <cacheField name="Product" numFmtId="0">
      <sharedItems count="5">
        <s v="Laptop"/>
        <s v="Mouse"/>
        <s v="Keyboard"/>
        <s v="Monitor"/>
        <s v="Printer"/>
      </sharedItems>
    </cacheField>
    <cacheField name="Units Sold" numFmtId="0">
      <sharedItems containsSemiMixedTypes="0" containsString="0" containsNumber="1" containsInteger="1" minValue="8" maxValue="40"/>
    </cacheField>
    <cacheField name="Unit Price" numFmtId="0">
      <sharedItems containsSemiMixedTypes="0" containsString="0" containsNumber="1" containsInteger="1" minValue="75" maxValue="3500"/>
    </cacheField>
    <cacheField name="Revenue" numFmtId="0">
      <sharedItems containsSemiMixedTypes="0" containsString="0" containsNumber="1" containsInteger="1" minValue="3000" maxValue="52500" count="5">
        <n v="52500"/>
        <n v="3000"/>
        <n v="4500"/>
        <n v="11400"/>
        <n v="96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s v="John"/>
    <x v="0"/>
    <n v="85"/>
    <n v="78"/>
    <n v="90"/>
    <n v="253"/>
    <n v="84.333333333333329"/>
    <n v="90"/>
    <n v="78"/>
  </r>
  <r>
    <n v="1002"/>
    <s v="Mary"/>
    <x v="0"/>
    <n v="72"/>
    <n v="91"/>
    <n v="88"/>
    <n v="251"/>
    <n v="83.666666666666671"/>
    <n v="91"/>
    <n v="72"/>
  </r>
  <r>
    <n v="1003"/>
    <s v="David"/>
    <x v="1"/>
    <n v="95"/>
    <n v="82"/>
    <n v="87"/>
    <n v="264"/>
    <n v="88"/>
    <n v="95"/>
    <n v="82"/>
  </r>
  <r>
    <n v="1004"/>
    <s v="Sarah"/>
    <x v="1"/>
    <n v="80"/>
    <n v="84"/>
    <n v="76"/>
    <n v="240"/>
    <n v="80"/>
    <n v="84"/>
    <n v="76"/>
  </r>
  <r>
    <n v="1005"/>
    <s v="James"/>
    <x v="0"/>
    <n v="68"/>
    <n v="75"/>
    <n v="81"/>
    <n v="224"/>
    <n v="74.666666666666671"/>
    <n v="81"/>
    <n v="68"/>
  </r>
  <r>
    <n v="1006"/>
    <s v="Grace"/>
    <x v="1"/>
    <n v="90"/>
    <n v="93"/>
    <n v="95"/>
    <n v="278"/>
    <n v="92.666666666666671"/>
    <n v="95"/>
    <n v="90"/>
  </r>
  <r>
    <n v="1007"/>
    <s v="Daniel"/>
    <x v="0"/>
    <n v="77"/>
    <n v="86"/>
    <n v="80"/>
    <n v="243"/>
    <n v="81"/>
    <n v="86"/>
    <n v="77"/>
  </r>
  <r>
    <n v="1008"/>
    <s v="Ruth"/>
    <x v="1"/>
    <n v="88"/>
    <n v="89"/>
    <n v="92"/>
    <n v="269"/>
    <n v="89.666666666666671"/>
    <n v="92"/>
    <n v="88"/>
  </r>
  <r>
    <n v="1009"/>
    <s v="Peter"/>
    <x v="0"/>
    <n v="83"/>
    <n v="79"/>
    <n v="84"/>
    <n v="246"/>
    <n v="82"/>
    <n v="84"/>
    <n v="79"/>
  </r>
  <r>
    <n v="1010"/>
    <s v="Esther"/>
    <x v="1"/>
    <n v="91"/>
    <n v="87"/>
    <n v="90"/>
    <n v="268"/>
    <n v="89.333333333333329"/>
    <n v="91"/>
    <n v="8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5500"/>
    <n v="4"/>
  </r>
  <r>
    <x v="1"/>
    <x v="1"/>
    <n v="8000"/>
    <n v="5"/>
  </r>
  <r>
    <x v="2"/>
    <x v="2"/>
    <n v="7000"/>
    <n v="3"/>
  </r>
  <r>
    <x v="3"/>
    <x v="0"/>
    <n v="6000"/>
    <n v="4"/>
  </r>
  <r>
    <x v="4"/>
    <x v="1"/>
    <n v="9000"/>
    <n v="5"/>
  </r>
  <r>
    <x v="5"/>
    <x v="2"/>
    <n v="7500"/>
    <n v="4"/>
  </r>
  <r>
    <x v="6"/>
    <x v="0"/>
    <n v="5800"/>
    <n v="3"/>
  </r>
  <r>
    <x v="7"/>
    <x v="1"/>
    <n v="8500"/>
    <n v="5"/>
  </r>
  <r>
    <x v="8"/>
    <x v="2"/>
    <n v="7200"/>
    <n v="4"/>
  </r>
  <r>
    <x v="9"/>
    <x v="0"/>
    <n v="6100"/>
    <n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5"/>
    <n v="3500"/>
    <x v="0"/>
  </r>
  <r>
    <x v="1"/>
    <n v="40"/>
    <n v="75"/>
    <x v="1"/>
  </r>
  <r>
    <x v="2"/>
    <n v="25"/>
    <n v="180"/>
    <x v="2"/>
  </r>
  <r>
    <x v="3"/>
    <n v="12"/>
    <n v="950"/>
    <x v="3"/>
  </r>
  <r>
    <x v="4"/>
    <n v="8"/>
    <n v="120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3CA21F-A1CA-43A6-8BF3-F04B82EE6A2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:G7" firstHeaderRow="0" firstDataRow="1" firstDataCol="1"/>
  <pivotFields count="10">
    <pivotField dataField="1" showAll="0"/>
    <pivotField showAll="0"/>
    <pivotField axis="axisRow" showAll="0">
      <items count="3">
        <item x="1"/>
        <item x="0"/>
        <item t="default"/>
      </items>
    </pivotField>
    <pivotField dataField="1" showAll="0"/>
    <pivotField dataField="1" showAll="0"/>
    <pivotField dataField="1" showAll="0"/>
    <pivotField showAll="0"/>
    <pivotField numFmtId="2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Math" fld="3" subtotal="average" baseField="2" baseItem="0"/>
    <dataField name="Average of English" fld="4" subtotal="average" baseField="0" baseItem="0"/>
    <dataField name="Average of Science" fld="5" subtotal="average" baseField="0" baseItem="0"/>
    <dataField name="Count of Stud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7DFE1E-1749-45B2-9329-DA5D26F877D1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E7" firstHeaderRow="0" firstDataRow="1" firstDataCol="1"/>
  <pivotFields count="4">
    <pivotField dataField="1" showAll="0">
      <items count="11">
        <item x="8"/>
        <item x="2"/>
        <item x="9"/>
        <item x="5"/>
        <item x="4"/>
        <item x="0"/>
        <item x="1"/>
        <item x="6"/>
        <item x="7"/>
        <item x="3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numFmtId="165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Employee" fld="0" subtotal="count" baseField="0" baseItem="0"/>
    <dataField name="Average of Salary" fld="2" subtotal="average" baseField="1" baseItem="0" numFmtId="165"/>
    <dataField name="Average of Rating" fld="3" subtotal="average" baseField="0" baseItem="0" numFmtId="176"/>
  </dataFields>
  <formats count="1"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D8C7BC-578E-4359-A057-5350844FAF0E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B3:C9" firstHeaderRow="1" firstDataRow="1" firstDataCol="1"/>
  <pivotFields count="4">
    <pivotField axis="axisRow" showAll="0" sortType="descending">
      <items count="6">
        <item x="4"/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6">
    <i>
      <x v="3"/>
    </i>
    <i>
      <x v="2"/>
    </i>
    <i>
      <x/>
    </i>
    <i>
      <x v="4"/>
    </i>
    <i>
      <x v="1"/>
    </i>
    <i t="grand">
      <x/>
    </i>
  </rowItems>
  <colItems count="1">
    <i/>
  </colItems>
  <dataFields count="1">
    <dataField name="Total Revenue" fld="3" baseField="0" baseItem="0" numFmtId="165"/>
  </dataFields>
  <formats count="7">
    <format dxfId="25">
      <pivotArea outline="0" collapsedLevelsAreSubtotals="1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0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2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A12989-31AF-45E6-BC9D-A709E4447D66}" name="Table1" displayName="Table1" ref="D5:M15" totalsRowShown="0" headerRowDxfId="95" dataDxfId="93" headerRowBorderDxfId="94" tableBorderDxfId="92" totalsRowBorderDxfId="91">
  <tableColumns count="10">
    <tableColumn id="1" xr3:uid="{E2911C44-0AAC-40AB-8A55-9A8784413DC0}" name="Student ID" dataDxfId="90"/>
    <tableColumn id="2" xr3:uid="{1C070138-3BAB-4B57-ADF8-06C764C1CADD}" name="Name" dataDxfId="89"/>
    <tableColumn id="3" xr3:uid="{40C3933A-FC27-418D-B14B-0C5CBCFE044C}" name="Class" dataDxfId="88"/>
    <tableColumn id="4" xr3:uid="{EAAAAD63-6782-4833-A035-57DACD7F4A0B}" name="Math" dataDxfId="87"/>
    <tableColumn id="5" xr3:uid="{6C491A58-FC76-4BA2-96CB-2C092E6685F3}" name="English" dataDxfId="86"/>
    <tableColumn id="6" xr3:uid="{D10F9689-CE4C-46FF-BE4F-7245BF267F04}" name="Science" dataDxfId="85"/>
    <tableColumn id="7" xr3:uid="{8E9E879B-562B-4EC7-BA41-2E8D793FAD5B}" name="Total" dataDxfId="84">
      <calculatedColumnFormula>SUM(Table1[[#This Row],[Math]:[Science]])</calculatedColumnFormula>
    </tableColumn>
    <tableColumn id="8" xr3:uid="{A7326A8F-FA30-40F3-BD7A-E9C3241DB0A3}" name="Average" dataDxfId="83">
      <calculatedColumnFormula>AVERAGE(Table1[[#This Row],[Math]:[Science]])</calculatedColumnFormula>
    </tableColumn>
    <tableColumn id="9" xr3:uid="{65AFDC4E-8ED0-4081-9341-F470C890BCD3}" name="Highest Score" dataDxfId="82">
      <calculatedColumnFormula>MAX(Table1[[#This Row],[Math]:[Science]])</calculatedColumnFormula>
    </tableColumn>
    <tableColumn id="10" xr3:uid="{71331696-C701-4CCD-AE2E-9107D7D9BF6D}" name="Lowest Score" dataDxfId="81">
      <calculatedColumnFormula>MIN(Table1[[#This Row],[Math]:[Science]])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12990B-E088-42CB-9E01-9A6ED7EE38F8}" name="Table3" displayName="Table3" ref="O9:P11" headerRowCount="0" totalsRowShown="0" headerRowDxfId="59" tableBorderDxfId="63" totalsRowBorderDxfId="62">
  <tableColumns count="2">
    <tableColumn id="1" xr3:uid="{80F42889-167B-4504-8FCA-371529BCC3C6}" name="Column1" dataDxfId="61"/>
    <tableColumn id="2" xr3:uid="{8D8059E9-2166-4397-8684-A899854B33B7}" name="Column2" dataDxfId="6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F51AF0-FAAA-4DD7-9A21-1DA8BC8620F7}" name="Table4" displayName="Table4" ref="O14:P16" headerRowCount="0" totalsRowShown="0" headerRowDxfId="54" tableBorderDxfId="58" totalsRowBorderDxfId="57">
  <tableColumns count="2">
    <tableColumn id="1" xr3:uid="{7E470468-AF3F-40E1-8252-F8C49537D7C2}" name="Column1" dataDxfId="56"/>
    <tableColumn id="2" xr3:uid="{C5CE7544-F897-4314-9244-2BE7E55E9D29}" name="Column2" dataDxfId="5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FC7CA6B-677A-40BE-AB75-6F5D9376F2E2}" name="Table8" displayName="Table8" ref="O19:P21" headerRowCount="0" totalsRowShown="0" headerRowDxfId="49" tableBorderDxfId="53" totalsRowBorderDxfId="52">
  <tableColumns count="2">
    <tableColumn id="1" xr3:uid="{5D8DFDEC-0544-4515-B25B-C9EDC136E82D}" name="Column1" dataDxfId="51"/>
    <tableColumn id="2" xr3:uid="{594FB166-7126-49D5-A066-1F143DFB7A4C}" name="Column2" dataDxfId="5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58E5A67-ED91-4A47-B50C-2330CF73AAB8}" name="Table9" displayName="Table9" ref="B2:E12" totalsRowShown="0" headerRowDxfId="42" dataDxfId="41" headerRowBorderDxfId="45" tableBorderDxfId="46" totalsRowBorderDxfId="44">
  <autoFilter ref="B2:E12" xr:uid="{958E5A67-ED91-4A47-B50C-2330CF73AAB8}">
    <filterColumn colId="0" hiddenButton="1"/>
    <filterColumn colId="1" hiddenButton="1"/>
    <filterColumn colId="2" hiddenButton="1"/>
    <filterColumn colId="3" hiddenButton="1"/>
  </autoFilter>
  <tableColumns count="4">
    <tableColumn id="1" xr3:uid="{401F7FAE-F3BA-45FC-A24F-AE81CE1E7A13}" name="Employee" dataDxfId="43"/>
    <tableColumn id="2" xr3:uid="{36DA2640-7630-4104-BF71-EE39EA442C02}" name="Department" dataDxfId="34"/>
    <tableColumn id="3" xr3:uid="{5BED245C-5232-49D3-B1E6-2907C3D35E3D}" name="Salary" dataDxfId="32" dataCellStyle="Currency"/>
    <tableColumn id="4" xr3:uid="{7288007D-C467-492F-B847-3D67D0CAB577}" name="Rating" dataDxfId="3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BC78044-BEE5-4AD5-A278-8EC6D04C07F9}" name="Table10" displayName="Table10" ref="J4:K13" headerRowCount="0" totalsRowShown="0" headerRowDxfId="36" dataDxfId="35" tableBorderDxfId="40" totalsRowBorderDxfId="39">
  <tableColumns count="2">
    <tableColumn id="1" xr3:uid="{2B3976C4-6368-4059-9D10-564152B6CE1F}" name="Column1" dataDxfId="38"/>
    <tableColumn id="2" xr3:uid="{FAF47574-3173-4343-82FD-37EDC7AE9ED3}" name="Column2" dataDxfId="3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4B3580-170E-422B-92FC-6824E5C5993F}" name="Table2" displayName="Table2" ref="C3:I19" totalsRowShown="0" headerRowDxfId="80" dataDxfId="79">
  <autoFilter ref="C3:I19" xr:uid="{284B3580-170E-422B-92FC-6824E5C5993F}"/>
  <sortState xmlns:xlrd2="http://schemas.microsoft.com/office/spreadsheetml/2017/richdata2" ref="C4:G18">
    <sortCondition descending="1" ref="F3:F18"/>
  </sortState>
  <tableColumns count="7">
    <tableColumn id="1" xr3:uid="{F986F937-6098-4081-92F2-FA0CCF2FE8C1}" name="Employee ID" dataDxfId="78"/>
    <tableColumn id="2" xr3:uid="{011D2B0F-BCB3-4B60-942D-E1C3E0CD9E51}" name="Name" dataDxfId="77"/>
    <tableColumn id="3" xr3:uid="{0CB1B7F5-E40E-4AFF-BBE0-95E81D77E3D8}" name="Department" dataDxfId="76"/>
    <tableColumn id="4" xr3:uid="{8D6BB122-2086-4BB3-851D-570EA9941FC4}" name="Salary ($)" dataDxfId="75" dataCellStyle="Currency"/>
    <tableColumn id="5" xr3:uid="{2135B347-70C3-4BB8-945D-305AA42E91E5}" name="Years of Service" dataDxfId="74"/>
    <tableColumn id="6" xr3:uid="{5D20B53F-E7FF-4DC8-874E-84A63AAAC979}" name="Annual Salary" dataDxfId="73" dataCellStyle="Currency">
      <calculatedColumnFormula>(Table2[[#This Row],[Salary ($)]]*12)</calculatedColumnFormula>
    </tableColumn>
    <tableColumn id="7" xr3:uid="{3CFB3670-7C27-425D-B323-5C8B94CAA552}" name="Bonus" dataDxfId="72" dataCellStyle="Currency">
      <calculatedColumnFormula>0.1*Table2[[#This Row],[Annual Salary]]</calculatedColumnFormula>
    </tableColumn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4E75C1-33C9-4303-9B05-3DDF7D37071F}" name="Table5" displayName="Table5" ref="D22:E26" headerRowCount="0" totalsRowShown="0" headerRowDxfId="71" headerRowBorderDxfId="70" tableBorderDxfId="69" totalsRowBorderDxfId="68">
  <tableColumns count="2">
    <tableColumn id="1" xr3:uid="{7CFF0C7F-1CD8-4133-BD40-811BDF479BD0}" name="Column1" headerRowDxfId="67" dataDxfId="66"/>
    <tableColumn id="2" xr3:uid="{35EA8552-4A47-4350-848D-454DAB931BE0}" name="Column2" headerRowDxfId="65" dataDxfId="6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30112FD-3ADB-4E6F-B768-A43456712B27}" name="Table6" displayName="Table6" ref="C4:F9" totalsRowShown="0" headerRowDxfId="106" headerRowBorderDxfId="105" tableBorderDxfId="104" totalsRowBorderDxfId="103">
  <autoFilter ref="C4:F9" xr:uid="{C30112FD-3ADB-4E6F-B768-A43456712B27}"/>
  <tableColumns count="4">
    <tableColumn id="1" xr3:uid="{6742E32D-D637-4365-8DD6-0B4960E3A1ED}" name="Product" dataDxfId="102"/>
    <tableColumn id="2" xr3:uid="{B72D37E0-9489-42BB-BE40-9E053C1FC952}" name="Units Sold" dataDxfId="31"/>
    <tableColumn id="3" xr3:uid="{AF248533-016F-4BE1-B886-FB37FAF34CCE}" name="Unit Price" dataDxfId="29" dataCellStyle="Currency"/>
    <tableColumn id="4" xr3:uid="{5BBA63B5-EB50-4396-9E39-2319B5A711BD}" name="Revenue" dataDxfId="30" dataCellStyle="Currency">
      <calculatedColumnFormula>PRODUCT(Table6[[#This Row],[Units Sold]:[Unit Price]])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887681F-8974-40E9-B013-5D9AAE7E960E}" name="Table7" displayName="Table7" ref="D12:E15" headerRowCount="0" totalsRowShown="0" headerRowDxfId="101" headerRowBorderDxfId="100" tableBorderDxfId="99" totalsRowBorderDxfId="98">
  <tableColumns count="2">
    <tableColumn id="1" xr3:uid="{E6620D73-456A-4B6E-B462-BC521305F0DB}" name="Column1" headerRowDxfId="97" dataDxfId="16"/>
    <tableColumn id="2" xr3:uid="{632B9040-5E37-4CE5-964B-C296F9C185C8}" name="Column2" headerRowDxfId="96" dataDxfId="15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42A33-E103-413A-9EDA-3EA53DE0BD43}">
  <dimension ref="C4:J11"/>
  <sheetViews>
    <sheetView topLeftCell="B1" workbookViewId="0">
      <selection activeCell="J14" sqref="J14"/>
    </sheetView>
  </sheetViews>
  <sheetFormatPr defaultRowHeight="15" x14ac:dyDescent="0.25"/>
  <cols>
    <col min="3" max="3" width="13.42578125" bestFit="1" customWidth="1"/>
    <col min="4" max="4" width="15.42578125" bestFit="1" customWidth="1"/>
    <col min="5" max="5" width="17.7109375" bestFit="1" customWidth="1"/>
    <col min="6" max="6" width="18.28515625" bestFit="1" customWidth="1"/>
    <col min="7" max="7" width="19.140625" bestFit="1" customWidth="1"/>
    <col min="8" max="8" width="18.28515625" bestFit="1" customWidth="1"/>
    <col min="9" max="9" width="9.5703125" bestFit="1" customWidth="1"/>
    <col min="10" max="10" width="45.42578125" bestFit="1" customWidth="1"/>
    <col min="11" max="11" width="19.140625" bestFit="1" customWidth="1"/>
  </cols>
  <sheetData>
    <row r="4" spans="3:10" x14ac:dyDescent="0.25">
      <c r="C4" s="45" t="s">
        <v>97</v>
      </c>
      <c r="D4" t="s">
        <v>99</v>
      </c>
      <c r="E4" t="s">
        <v>100</v>
      </c>
      <c r="F4" t="s">
        <v>101</v>
      </c>
      <c r="G4" t="s">
        <v>102</v>
      </c>
      <c r="I4" s="50" t="s">
        <v>106</v>
      </c>
      <c r="J4" s="51" t="s">
        <v>107</v>
      </c>
    </row>
    <row r="5" spans="3:10" x14ac:dyDescent="0.25">
      <c r="C5" s="46" t="s">
        <v>10</v>
      </c>
      <c r="D5" s="47">
        <v>88.8</v>
      </c>
      <c r="E5" s="47">
        <v>87</v>
      </c>
      <c r="F5" s="47">
        <v>88</v>
      </c>
      <c r="G5" s="47">
        <v>5</v>
      </c>
      <c r="I5" s="52" t="s">
        <v>108</v>
      </c>
      <c r="J5" s="49" t="s">
        <v>10</v>
      </c>
    </row>
    <row r="6" spans="3:10" x14ac:dyDescent="0.25">
      <c r="C6" s="46" t="s">
        <v>7</v>
      </c>
      <c r="D6" s="47">
        <v>77</v>
      </c>
      <c r="E6" s="47">
        <v>81.8</v>
      </c>
      <c r="F6" s="47">
        <v>84.6</v>
      </c>
      <c r="G6" s="47">
        <v>5</v>
      </c>
      <c r="I6" s="53" t="s">
        <v>106</v>
      </c>
      <c r="J6" s="51" t="s">
        <v>109</v>
      </c>
    </row>
    <row r="7" spans="3:10" x14ac:dyDescent="0.25">
      <c r="C7" s="46" t="s">
        <v>98</v>
      </c>
      <c r="D7" s="47">
        <v>82.9</v>
      </c>
      <c r="E7" s="47">
        <v>84.4</v>
      </c>
      <c r="F7" s="47">
        <v>86.3</v>
      </c>
      <c r="G7" s="47">
        <v>10</v>
      </c>
      <c r="I7" s="53" t="s">
        <v>108</v>
      </c>
      <c r="J7" s="51">
        <v>5</v>
      </c>
    </row>
    <row r="8" spans="3:10" x14ac:dyDescent="0.25">
      <c r="I8" s="31" t="s">
        <v>106</v>
      </c>
      <c r="J8" s="31" t="s">
        <v>128</v>
      </c>
    </row>
    <row r="9" spans="3:10" x14ac:dyDescent="0.25">
      <c r="I9" s="31" t="s">
        <v>108</v>
      </c>
      <c r="J9" s="49">
        <f>SUM(D5:F5)</f>
        <v>263.8</v>
      </c>
    </row>
    <row r="10" spans="3:10" x14ac:dyDescent="0.25">
      <c r="I10" s="31" t="s">
        <v>106</v>
      </c>
      <c r="J10" s="49" t="s">
        <v>129</v>
      </c>
    </row>
    <row r="11" spans="3:10" x14ac:dyDescent="0.25">
      <c r="I11" s="31" t="s">
        <v>108</v>
      </c>
      <c r="J11" s="49">
        <f>SUM(D6:F6)</f>
        <v>243.4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99F85-B0E8-4381-B09D-208F58D46C6D}">
  <dimension ref="D5:P21"/>
  <sheetViews>
    <sheetView topLeftCell="A5" workbookViewId="0">
      <selection activeCell="E17" sqref="E17"/>
    </sheetView>
  </sheetViews>
  <sheetFormatPr defaultRowHeight="15" x14ac:dyDescent="0.25"/>
  <cols>
    <col min="4" max="4" width="15.140625" bestFit="1" customWidth="1"/>
    <col min="5" max="5" width="10.85546875" bestFit="1" customWidth="1"/>
    <col min="6" max="6" width="10.5703125" bestFit="1" customWidth="1"/>
    <col min="7" max="7" width="10" bestFit="1" customWidth="1"/>
    <col min="8" max="8" width="12.140625" bestFit="1" customWidth="1"/>
    <col min="9" max="9" width="12.7109375" bestFit="1" customWidth="1"/>
    <col min="11" max="11" width="11.5703125" bestFit="1" customWidth="1"/>
    <col min="12" max="12" width="8" bestFit="1" customWidth="1"/>
    <col min="15" max="15" width="29.140625" bestFit="1" customWidth="1"/>
    <col min="16" max="16" width="11.28515625" customWidth="1"/>
  </cols>
  <sheetData>
    <row r="5" spans="4:16" ht="30" x14ac:dyDescent="0.25">
      <c r="D5" s="1" t="s">
        <v>0</v>
      </c>
      <c r="E5" s="2" t="s">
        <v>1</v>
      </c>
      <c r="F5" s="2" t="s">
        <v>2</v>
      </c>
      <c r="G5" s="2" t="s">
        <v>3</v>
      </c>
      <c r="H5" s="2" t="s">
        <v>4</v>
      </c>
      <c r="I5" s="3" t="s">
        <v>5</v>
      </c>
      <c r="J5" s="2" t="s">
        <v>44</v>
      </c>
      <c r="K5" s="2" t="s">
        <v>45</v>
      </c>
      <c r="L5" s="2" t="s">
        <v>46</v>
      </c>
      <c r="M5" s="2" t="s">
        <v>47</v>
      </c>
    </row>
    <row r="6" spans="4:16" x14ac:dyDescent="0.25">
      <c r="D6" s="4">
        <v>1001</v>
      </c>
      <c r="E6" s="5" t="s">
        <v>6</v>
      </c>
      <c r="F6" s="5" t="s">
        <v>7</v>
      </c>
      <c r="G6" s="5">
        <v>85</v>
      </c>
      <c r="H6" s="5">
        <v>78</v>
      </c>
      <c r="I6" s="6">
        <v>90</v>
      </c>
      <c r="J6" s="15">
        <f>SUM(Table1[[#This Row],[Math]:[Science]])</f>
        <v>253</v>
      </c>
      <c r="K6" s="16">
        <f>AVERAGE(Table1[[#This Row],[Math]:[Science]])</f>
        <v>84.333333333333329</v>
      </c>
      <c r="L6" s="5">
        <f>MAX(Table1[[#This Row],[Math]:[Science]])</f>
        <v>90</v>
      </c>
      <c r="M6" s="5">
        <f>MIN(Table1[[#This Row],[Math]:[Science]])</f>
        <v>78</v>
      </c>
    </row>
    <row r="7" spans="4:16" x14ac:dyDescent="0.25">
      <c r="D7" s="4">
        <v>1002</v>
      </c>
      <c r="E7" s="5" t="s">
        <v>8</v>
      </c>
      <c r="F7" s="5" t="s">
        <v>7</v>
      </c>
      <c r="G7" s="5">
        <v>72</v>
      </c>
      <c r="H7" s="5">
        <v>91</v>
      </c>
      <c r="I7" s="6">
        <v>88</v>
      </c>
      <c r="J7" s="15">
        <f>SUM(Table1[[#This Row],[Math]:[Science]])</f>
        <v>251</v>
      </c>
      <c r="K7" s="16">
        <f>AVERAGE(Table1[[#This Row],[Math]:[Science]])</f>
        <v>83.666666666666671</v>
      </c>
      <c r="L7" s="5">
        <f>MAX(Table1[[#This Row],[Math]:[Science]])</f>
        <v>91</v>
      </c>
      <c r="M7" s="5">
        <f>MIN(Table1[[#This Row],[Math]:[Science]])</f>
        <v>72</v>
      </c>
    </row>
    <row r="8" spans="4:16" x14ac:dyDescent="0.25">
      <c r="D8" s="4">
        <v>1003</v>
      </c>
      <c r="E8" s="5" t="s">
        <v>9</v>
      </c>
      <c r="F8" s="5" t="s">
        <v>10</v>
      </c>
      <c r="G8" s="5">
        <v>95</v>
      </c>
      <c r="H8" s="5">
        <v>82</v>
      </c>
      <c r="I8" s="6">
        <v>87</v>
      </c>
      <c r="J8" s="15">
        <f>SUM(Table1[[#This Row],[Math]:[Science]])</f>
        <v>264</v>
      </c>
      <c r="K8" s="16">
        <f>AVERAGE(Table1[[#This Row],[Math]:[Science]])</f>
        <v>88</v>
      </c>
      <c r="L8" s="5">
        <f>MAX(Table1[[#This Row],[Math]:[Science]])</f>
        <v>95</v>
      </c>
      <c r="M8" s="5">
        <f>MIN(Table1[[#This Row],[Math]:[Science]])</f>
        <v>82</v>
      </c>
    </row>
    <row r="9" spans="4:16" x14ac:dyDescent="0.25">
      <c r="D9" s="4">
        <v>1004</v>
      </c>
      <c r="E9" s="5" t="s">
        <v>11</v>
      </c>
      <c r="F9" s="5" t="s">
        <v>10</v>
      </c>
      <c r="G9" s="5">
        <v>80</v>
      </c>
      <c r="H9" s="5">
        <v>84</v>
      </c>
      <c r="I9" s="6">
        <v>76</v>
      </c>
      <c r="J9" s="15">
        <f>SUM(Table1[[#This Row],[Math]:[Science]])</f>
        <v>240</v>
      </c>
      <c r="K9" s="16">
        <f>AVERAGE(Table1[[#This Row],[Math]:[Science]])</f>
        <v>80</v>
      </c>
      <c r="L9" s="5">
        <f>MAX(Table1[[#This Row],[Math]:[Science]])</f>
        <v>84</v>
      </c>
      <c r="M9" s="5">
        <f>MIN(Table1[[#This Row],[Math]:[Science]])</f>
        <v>76</v>
      </c>
      <c r="O9" s="26" t="s">
        <v>69</v>
      </c>
      <c r="P9" s="12">
        <f>COUNTIF(Table1[Class], "Grade 5")</f>
        <v>5</v>
      </c>
    </row>
    <row r="10" spans="4:16" x14ac:dyDescent="0.25">
      <c r="D10" s="4">
        <v>1005</v>
      </c>
      <c r="E10" s="5" t="s">
        <v>12</v>
      </c>
      <c r="F10" s="5" t="s">
        <v>7</v>
      </c>
      <c r="G10" s="5">
        <v>68</v>
      </c>
      <c r="H10" s="5">
        <v>75</v>
      </c>
      <c r="I10" s="6">
        <v>81</v>
      </c>
      <c r="J10" s="15">
        <f>SUM(Table1[[#This Row],[Math]:[Science]])</f>
        <v>224</v>
      </c>
      <c r="K10" s="16">
        <f>AVERAGE(Table1[[#This Row],[Math]:[Science]])</f>
        <v>74.666666666666671</v>
      </c>
      <c r="L10" s="5">
        <f>MAX(Table1[[#This Row],[Math]:[Science]])</f>
        <v>81</v>
      </c>
      <c r="M10" s="5">
        <f>MIN(Table1[[#This Row],[Math]:[Science]])</f>
        <v>68</v>
      </c>
      <c r="O10" s="18" t="s">
        <v>70</v>
      </c>
      <c r="P10" s="23">
        <f>COUNTIF(Table1[[#All],[Class]], "Grade 6")</f>
        <v>5</v>
      </c>
    </row>
    <row r="11" spans="4:16" x14ac:dyDescent="0.25">
      <c r="D11" s="4">
        <v>1006</v>
      </c>
      <c r="E11" s="5" t="s">
        <v>13</v>
      </c>
      <c r="F11" s="5" t="s">
        <v>10</v>
      </c>
      <c r="G11" s="5">
        <v>90</v>
      </c>
      <c r="H11" s="5">
        <v>93</v>
      </c>
      <c r="I11" s="6">
        <v>95</v>
      </c>
      <c r="J11" s="15">
        <f>SUM(Table1[[#This Row],[Math]:[Science]])</f>
        <v>278</v>
      </c>
      <c r="K11" s="16">
        <f>AVERAGE(Table1[[#This Row],[Math]:[Science]])</f>
        <v>92.666666666666671</v>
      </c>
      <c r="L11" s="5">
        <f>MAX(Table1[[#This Row],[Math]:[Science]])</f>
        <v>95</v>
      </c>
      <c r="M11" s="5">
        <f>MIN(Table1[[#This Row],[Math]:[Science]])</f>
        <v>90</v>
      </c>
      <c r="O11" s="11" t="s">
        <v>71</v>
      </c>
      <c r="P11" s="10">
        <f>COUNTIF(Table1[Math], "&gt;85")</f>
        <v>4</v>
      </c>
    </row>
    <row r="12" spans="4:16" x14ac:dyDescent="0.25">
      <c r="D12" s="4">
        <v>1007</v>
      </c>
      <c r="E12" s="5" t="s">
        <v>14</v>
      </c>
      <c r="F12" s="5" t="s">
        <v>7</v>
      </c>
      <c r="G12" s="5">
        <v>77</v>
      </c>
      <c r="H12" s="5">
        <v>86</v>
      </c>
      <c r="I12" s="6">
        <v>80</v>
      </c>
      <c r="J12" s="15">
        <f>SUM(Table1[[#This Row],[Math]:[Science]])</f>
        <v>243</v>
      </c>
      <c r="K12" s="16">
        <f>AVERAGE(Table1[[#This Row],[Math]:[Science]])</f>
        <v>81</v>
      </c>
      <c r="L12" s="5">
        <f>MAX(Table1[[#This Row],[Math]:[Science]])</f>
        <v>86</v>
      </c>
      <c r="M12" s="5">
        <f>MIN(Table1[[#This Row],[Math]:[Science]])</f>
        <v>77</v>
      </c>
    </row>
    <row r="13" spans="4:16" x14ac:dyDescent="0.25">
      <c r="D13" s="4">
        <v>1008</v>
      </c>
      <c r="E13" s="5" t="s">
        <v>15</v>
      </c>
      <c r="F13" s="5" t="s">
        <v>10</v>
      </c>
      <c r="G13" s="5">
        <v>88</v>
      </c>
      <c r="H13" s="5">
        <v>89</v>
      </c>
      <c r="I13" s="6">
        <v>92</v>
      </c>
      <c r="J13" s="15">
        <f>SUM(Table1[[#This Row],[Math]:[Science]])</f>
        <v>269</v>
      </c>
      <c r="K13" s="16">
        <f>AVERAGE(Table1[[#This Row],[Math]:[Science]])</f>
        <v>89.666666666666671</v>
      </c>
      <c r="L13" s="5">
        <f>MAX(Table1[[#This Row],[Math]:[Science]])</f>
        <v>92</v>
      </c>
      <c r="M13" s="5">
        <f>MIN(Table1[[#This Row],[Math]:[Science]])</f>
        <v>88</v>
      </c>
    </row>
    <row r="14" spans="4:16" x14ac:dyDescent="0.25">
      <c r="D14" s="4">
        <v>1009</v>
      </c>
      <c r="E14" s="5" t="s">
        <v>16</v>
      </c>
      <c r="F14" s="5" t="s">
        <v>7</v>
      </c>
      <c r="G14" s="5">
        <v>83</v>
      </c>
      <c r="H14" s="5">
        <v>79</v>
      </c>
      <c r="I14" s="6">
        <v>84</v>
      </c>
      <c r="J14" s="15">
        <f>SUM(Table1[[#This Row],[Math]:[Science]])</f>
        <v>246</v>
      </c>
      <c r="K14" s="16">
        <f>AVERAGE(Table1[[#This Row],[Math]:[Science]])</f>
        <v>82</v>
      </c>
      <c r="L14" s="5">
        <f>MAX(Table1[[#This Row],[Math]:[Science]])</f>
        <v>84</v>
      </c>
      <c r="M14" s="5">
        <f>MIN(Table1[[#This Row],[Math]:[Science]])</f>
        <v>79</v>
      </c>
      <c r="O14" s="26" t="s">
        <v>72</v>
      </c>
      <c r="P14" s="12">
        <f>SUMIF(Table1[Class], "Grade 5", Table1[Math])</f>
        <v>444</v>
      </c>
    </row>
    <row r="15" spans="4:16" x14ac:dyDescent="0.25">
      <c r="D15" s="7">
        <v>1010</v>
      </c>
      <c r="E15" s="8" t="s">
        <v>17</v>
      </c>
      <c r="F15" s="8" t="s">
        <v>10</v>
      </c>
      <c r="G15" s="8">
        <v>91</v>
      </c>
      <c r="H15" s="8">
        <v>87</v>
      </c>
      <c r="I15" s="9">
        <v>90</v>
      </c>
      <c r="J15" s="15">
        <f>SUM(Table1[[#This Row],[Math]:[Science]])</f>
        <v>268</v>
      </c>
      <c r="K15" s="16">
        <f>AVERAGE(Table1[[#This Row],[Math]:[Science]])</f>
        <v>89.333333333333329</v>
      </c>
      <c r="L15" s="5">
        <f>MAX(Table1[[#This Row],[Math]:[Science]])</f>
        <v>91</v>
      </c>
      <c r="M15" s="5">
        <f>MIN(Table1[[#This Row],[Math]:[Science]])</f>
        <v>87</v>
      </c>
      <c r="O15" s="18" t="s">
        <v>73</v>
      </c>
      <c r="P15" s="23">
        <f>SUMIF(Table1[Class], "Grade 6", Table1[Math])</f>
        <v>385</v>
      </c>
    </row>
    <row r="16" spans="4:16" x14ac:dyDescent="0.25">
      <c r="O16" s="11" t="s">
        <v>74</v>
      </c>
      <c r="P16" s="10">
        <f>SUMIF(Table1[Class], "Grade 5", Table1[Science])</f>
        <v>440</v>
      </c>
    </row>
    <row r="19" spans="15:16" x14ac:dyDescent="0.25">
      <c r="O19" s="26" t="s">
        <v>75</v>
      </c>
      <c r="P19" s="12">
        <f>AVERAGEIF(Table1[Class], "Grade 5", Table1[Math])</f>
        <v>88.8</v>
      </c>
    </row>
    <row r="20" spans="15:16" x14ac:dyDescent="0.25">
      <c r="O20" s="18" t="s">
        <v>76</v>
      </c>
      <c r="P20" s="23">
        <f>AVERAGEIF(Table1[Class], "Grade 6", Table1[Math])</f>
        <v>77</v>
      </c>
    </row>
    <row r="21" spans="15:16" x14ac:dyDescent="0.25">
      <c r="O21" s="11" t="s">
        <v>77</v>
      </c>
      <c r="P21" s="10">
        <f>AVERAGEIF(Table1[Class], "Grade 6", Table1[Science])</f>
        <v>84.6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EB666-3C97-4EFE-AD08-3080B4B17169}">
  <dimension ref="B3:I8"/>
  <sheetViews>
    <sheetView workbookViewId="0">
      <selection activeCell="E4" sqref="E4:E7"/>
    </sheetView>
  </sheetViews>
  <sheetFormatPr defaultRowHeight="15" x14ac:dyDescent="0.25"/>
  <cols>
    <col min="2" max="2" width="13.42578125" bestFit="1" customWidth="1"/>
    <col min="3" max="3" width="18.5703125" bestFit="1" customWidth="1"/>
    <col min="4" max="4" width="16.42578125" bestFit="1" customWidth="1"/>
    <col min="5" max="5" width="16.7109375" bestFit="1" customWidth="1"/>
    <col min="9" max="9" width="58" bestFit="1" customWidth="1"/>
  </cols>
  <sheetData>
    <row r="3" spans="2:9" x14ac:dyDescent="0.25">
      <c r="B3" s="45" t="s">
        <v>97</v>
      </c>
      <c r="C3" t="s">
        <v>105</v>
      </c>
      <c r="D3" t="s">
        <v>103</v>
      </c>
      <c r="E3" t="s">
        <v>104</v>
      </c>
      <c r="H3" s="50" t="s">
        <v>106</v>
      </c>
      <c r="I3" s="49" t="s">
        <v>110</v>
      </c>
    </row>
    <row r="4" spans="2:9" x14ac:dyDescent="0.25">
      <c r="B4" s="46" t="s">
        <v>37</v>
      </c>
      <c r="C4" s="47">
        <v>3</v>
      </c>
      <c r="D4" s="48">
        <v>7233.333333333333</v>
      </c>
      <c r="E4" s="59">
        <v>3.6666666666666665</v>
      </c>
      <c r="H4" s="50" t="s">
        <v>108</v>
      </c>
      <c r="I4" s="49" t="s">
        <v>82</v>
      </c>
    </row>
    <row r="5" spans="2:9" x14ac:dyDescent="0.25">
      <c r="B5" s="46" t="s">
        <v>81</v>
      </c>
      <c r="C5" s="47">
        <v>4</v>
      </c>
      <c r="D5" s="48">
        <v>5850</v>
      </c>
      <c r="E5" s="59">
        <v>4</v>
      </c>
      <c r="H5" s="50" t="s">
        <v>106</v>
      </c>
      <c r="I5" s="49" t="s">
        <v>111</v>
      </c>
    </row>
    <row r="6" spans="2:9" x14ac:dyDescent="0.25">
      <c r="B6" s="46" t="s">
        <v>82</v>
      </c>
      <c r="C6" s="47">
        <v>3</v>
      </c>
      <c r="D6" s="48">
        <v>8500</v>
      </c>
      <c r="E6" s="59">
        <v>5</v>
      </c>
      <c r="H6" s="50" t="s">
        <v>108</v>
      </c>
      <c r="I6" s="49" t="s">
        <v>82</v>
      </c>
    </row>
    <row r="7" spans="2:9" x14ac:dyDescent="0.25">
      <c r="B7" s="46" t="s">
        <v>98</v>
      </c>
      <c r="C7" s="47">
        <v>10</v>
      </c>
      <c r="D7" s="48">
        <v>7060</v>
      </c>
      <c r="E7" s="59">
        <v>4.2</v>
      </c>
      <c r="H7" s="50" t="s">
        <v>106</v>
      </c>
      <c r="I7" s="49" t="s">
        <v>112</v>
      </c>
    </row>
    <row r="8" spans="2:9" x14ac:dyDescent="0.25">
      <c r="H8" s="50" t="s">
        <v>108</v>
      </c>
      <c r="I8" s="49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2FDA0-189E-4D6B-BA32-3E8E25AC8CFA}">
  <dimension ref="B2:N13"/>
  <sheetViews>
    <sheetView workbookViewId="0">
      <selection activeCell="B2" sqref="B2:E12"/>
    </sheetView>
  </sheetViews>
  <sheetFormatPr defaultRowHeight="15" x14ac:dyDescent="0.25"/>
  <cols>
    <col min="2" max="2" width="12.140625" customWidth="1"/>
    <col min="3" max="3" width="14" customWidth="1"/>
    <col min="4" max="4" width="10" bestFit="1" customWidth="1"/>
    <col min="10" max="10" width="42.85546875" bestFit="1" customWidth="1"/>
    <col min="11" max="11" width="11.28515625" customWidth="1"/>
    <col min="13" max="13" width="42.85546875" bestFit="1" customWidth="1"/>
    <col min="14" max="14" width="12.7109375" customWidth="1"/>
  </cols>
  <sheetData>
    <row r="2" spans="2:14" x14ac:dyDescent="0.25">
      <c r="B2" s="1" t="s">
        <v>78</v>
      </c>
      <c r="C2" s="2" t="s">
        <v>19</v>
      </c>
      <c r="D2" s="2" t="s">
        <v>79</v>
      </c>
      <c r="E2" s="3" t="s">
        <v>80</v>
      </c>
    </row>
    <row r="3" spans="2:14" x14ac:dyDescent="0.25">
      <c r="B3" s="4" t="s">
        <v>6</v>
      </c>
      <c r="C3" s="5" t="s">
        <v>81</v>
      </c>
      <c r="D3" s="38">
        <v>5500</v>
      </c>
      <c r="E3" s="6">
        <v>4</v>
      </c>
    </row>
    <row r="4" spans="2:14" x14ac:dyDescent="0.25">
      <c r="B4" s="4" t="s">
        <v>8</v>
      </c>
      <c r="C4" s="5" t="s">
        <v>82</v>
      </c>
      <c r="D4" s="38">
        <v>8000</v>
      </c>
      <c r="E4" s="6">
        <v>5</v>
      </c>
      <c r="J4" s="32" t="s">
        <v>83</v>
      </c>
      <c r="K4" s="33">
        <f>COUNTIF(Table9[Department], "HR")</f>
        <v>4</v>
      </c>
      <c r="M4" s="44" t="s">
        <v>89</v>
      </c>
      <c r="N4" s="44"/>
    </row>
    <row r="5" spans="2:14" x14ac:dyDescent="0.25">
      <c r="B5" s="4" t="s">
        <v>9</v>
      </c>
      <c r="C5" s="5" t="s">
        <v>37</v>
      </c>
      <c r="D5" s="38">
        <v>7000</v>
      </c>
      <c r="E5" s="6">
        <v>3</v>
      </c>
      <c r="J5" s="34" t="s">
        <v>84</v>
      </c>
      <c r="K5" s="35">
        <f>COUNTIF(Table9[Department], "IT")</f>
        <v>3</v>
      </c>
      <c r="M5" s="44" t="s">
        <v>90</v>
      </c>
      <c r="N5" s="44" t="s">
        <v>82</v>
      </c>
    </row>
    <row r="6" spans="2:14" x14ac:dyDescent="0.25">
      <c r="B6" s="4" t="s">
        <v>11</v>
      </c>
      <c r="C6" s="5" t="s">
        <v>81</v>
      </c>
      <c r="D6" s="38">
        <v>6000</v>
      </c>
      <c r="E6" s="6">
        <v>4</v>
      </c>
      <c r="J6" s="34" t="s">
        <v>85</v>
      </c>
      <c r="K6" s="40">
        <f>SUMIF(Table9[Department], "HR", Table9[Salary])</f>
        <v>23400</v>
      </c>
      <c r="M6" s="44" t="s">
        <v>91</v>
      </c>
      <c r="N6" s="44" t="s">
        <v>82</v>
      </c>
    </row>
    <row r="7" spans="2:14" x14ac:dyDescent="0.25">
      <c r="B7" s="4" t="s">
        <v>12</v>
      </c>
      <c r="C7" s="5" t="s">
        <v>82</v>
      </c>
      <c r="D7" s="38">
        <v>9000</v>
      </c>
      <c r="E7" s="6">
        <v>5</v>
      </c>
      <c r="J7" s="34" t="s">
        <v>86</v>
      </c>
      <c r="K7" s="40">
        <f>SUMIF(Table9[Department], "IT", Table9[Salary])</f>
        <v>25500</v>
      </c>
      <c r="M7" s="44" t="s">
        <v>92</v>
      </c>
      <c r="N7" s="44" t="s">
        <v>81</v>
      </c>
    </row>
    <row r="8" spans="2:14" x14ac:dyDescent="0.25">
      <c r="B8" s="4" t="s">
        <v>13</v>
      </c>
      <c r="C8" s="5" t="s">
        <v>37</v>
      </c>
      <c r="D8" s="38">
        <v>7500</v>
      </c>
      <c r="E8" s="6">
        <v>4</v>
      </c>
      <c r="J8" s="34" t="s">
        <v>87</v>
      </c>
      <c r="K8" s="40">
        <f>AVERAGEIF(Table9[Department], "Finance", Table9[Salary])</f>
        <v>7233.333333333333</v>
      </c>
    </row>
    <row r="9" spans="2:14" x14ac:dyDescent="0.25">
      <c r="B9" s="4" t="s">
        <v>16</v>
      </c>
      <c r="C9" s="5" t="s">
        <v>81</v>
      </c>
      <c r="D9" s="38">
        <v>5800</v>
      </c>
      <c r="E9" s="6">
        <v>3</v>
      </c>
      <c r="J9" s="36" t="s">
        <v>88</v>
      </c>
      <c r="K9" s="37">
        <f>AVERAGEIF(Table9[Department], "HR", Table9[Rating])</f>
        <v>4</v>
      </c>
    </row>
    <row r="10" spans="2:14" x14ac:dyDescent="0.25">
      <c r="B10" s="4" t="s">
        <v>15</v>
      </c>
      <c r="C10" s="5" t="s">
        <v>82</v>
      </c>
      <c r="D10" s="38">
        <v>8500</v>
      </c>
      <c r="E10" s="6">
        <v>5</v>
      </c>
      <c r="J10" s="34" t="s">
        <v>93</v>
      </c>
      <c r="K10" s="40">
        <f>AVERAGEIF(Table9[Department], "HR", Table9[Salary])</f>
        <v>5850</v>
      </c>
    </row>
    <row r="11" spans="2:14" x14ac:dyDescent="0.25">
      <c r="B11" s="4" t="s">
        <v>14</v>
      </c>
      <c r="C11" s="5" t="s">
        <v>37</v>
      </c>
      <c r="D11" s="38">
        <v>7200</v>
      </c>
      <c r="E11" s="6">
        <v>4</v>
      </c>
      <c r="J11" s="36" t="s">
        <v>94</v>
      </c>
      <c r="K11" s="42">
        <f>AVERAGEIF(Table9[Department], "IT", Table9[Salary])</f>
        <v>8500</v>
      </c>
    </row>
    <row r="12" spans="2:14" x14ac:dyDescent="0.25">
      <c r="B12" s="7" t="s">
        <v>17</v>
      </c>
      <c r="C12" s="8" t="s">
        <v>81</v>
      </c>
      <c r="D12" s="39">
        <v>6100</v>
      </c>
      <c r="E12" s="9">
        <v>5</v>
      </c>
      <c r="J12" s="36" t="s">
        <v>95</v>
      </c>
      <c r="K12" s="37">
        <f>AVERAGEIF(Table9[Department], "IT", Table9[Rating])</f>
        <v>5</v>
      </c>
    </row>
    <row r="13" spans="2:14" x14ac:dyDescent="0.25">
      <c r="J13" s="36" t="s">
        <v>96</v>
      </c>
      <c r="K13" s="43">
        <f>AVERAGEIF(Table9[Department], "Finance", Table9[Rating])</f>
        <v>3.6666666666666665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D6C3-56AD-4A31-8489-5AB855999681}">
  <dimension ref="C3:I26"/>
  <sheetViews>
    <sheetView topLeftCell="A12" workbookViewId="0">
      <selection activeCell="F22" sqref="F22"/>
    </sheetView>
  </sheetViews>
  <sheetFormatPr defaultRowHeight="15" x14ac:dyDescent="0.25"/>
  <cols>
    <col min="3" max="3" width="17" bestFit="1" customWidth="1"/>
    <col min="4" max="4" width="20.42578125" bestFit="1" customWidth="1"/>
    <col min="5" max="5" width="16.42578125" bestFit="1" customWidth="1"/>
    <col min="6" max="6" width="15.28515625" bestFit="1" customWidth="1"/>
    <col min="7" max="7" width="20.140625" bestFit="1" customWidth="1"/>
    <col min="8" max="8" width="17.7109375" bestFit="1" customWidth="1"/>
    <col min="9" max="9" width="11.140625" bestFit="1" customWidth="1"/>
  </cols>
  <sheetData>
    <row r="3" spans="3:9" x14ac:dyDescent="0.25">
      <c r="C3" s="13" t="s">
        <v>18</v>
      </c>
      <c r="D3" s="13" t="s">
        <v>1</v>
      </c>
      <c r="E3" s="13" t="s">
        <v>19</v>
      </c>
      <c r="F3" s="14" t="s">
        <v>43</v>
      </c>
      <c r="G3" s="13" t="s">
        <v>20</v>
      </c>
      <c r="H3" s="13" t="s">
        <v>48</v>
      </c>
      <c r="I3" s="13" t="s">
        <v>49</v>
      </c>
    </row>
    <row r="4" spans="3:9" x14ac:dyDescent="0.25">
      <c r="C4" s="13">
        <v>13</v>
      </c>
      <c r="D4" s="13" t="s">
        <v>22</v>
      </c>
      <c r="E4" s="13" t="s">
        <v>42</v>
      </c>
      <c r="F4" s="17">
        <v>38000</v>
      </c>
      <c r="G4" s="13">
        <v>11</v>
      </c>
      <c r="H4" s="17">
        <f>(Table2[[#This Row],[Salary ($)]]*12)</f>
        <v>456000</v>
      </c>
      <c r="I4" s="17">
        <f>0.1*Table2[[#This Row],[Annual Salary]]</f>
        <v>45600</v>
      </c>
    </row>
    <row r="5" spans="3:9" x14ac:dyDescent="0.25">
      <c r="C5" s="13">
        <v>5</v>
      </c>
      <c r="D5" s="13" t="s">
        <v>29</v>
      </c>
      <c r="E5" s="13" t="s">
        <v>36</v>
      </c>
      <c r="F5" s="17">
        <v>34000</v>
      </c>
      <c r="G5" s="13">
        <v>7</v>
      </c>
      <c r="H5" s="17">
        <f>(Table2[[#This Row],[Salary ($)]]*12)</f>
        <v>408000</v>
      </c>
      <c r="I5" s="17">
        <f>0.1*Table2[[#This Row],[Annual Salary]]</f>
        <v>40800</v>
      </c>
    </row>
    <row r="6" spans="3:9" x14ac:dyDescent="0.25">
      <c r="C6" s="13">
        <v>9</v>
      </c>
      <c r="D6" s="13" t="s">
        <v>33</v>
      </c>
      <c r="E6" s="13" t="s">
        <v>41</v>
      </c>
      <c r="F6" s="17">
        <v>30000</v>
      </c>
      <c r="G6" s="13">
        <v>8</v>
      </c>
      <c r="H6" s="17">
        <f>(Table2[[#This Row],[Salary ($)]]*12)</f>
        <v>360000</v>
      </c>
      <c r="I6" s="17">
        <f>0.1*Table2[[#This Row],[Annual Salary]]</f>
        <v>36000</v>
      </c>
    </row>
    <row r="7" spans="3:9" x14ac:dyDescent="0.25">
      <c r="C7" s="13">
        <v>10</v>
      </c>
      <c r="D7" s="13" t="s">
        <v>34</v>
      </c>
      <c r="E7" s="13" t="s">
        <v>41</v>
      </c>
      <c r="F7" s="17">
        <v>30000</v>
      </c>
      <c r="G7" s="13">
        <v>6</v>
      </c>
      <c r="H7" s="17">
        <f>(Table2[[#This Row],[Salary ($)]]*12)</f>
        <v>360000</v>
      </c>
      <c r="I7" s="17">
        <f>0.1*Table2[[#This Row],[Annual Salary]]</f>
        <v>36000</v>
      </c>
    </row>
    <row r="8" spans="3:9" x14ac:dyDescent="0.25">
      <c r="C8" s="13">
        <v>12</v>
      </c>
      <c r="D8" s="13" t="s">
        <v>21</v>
      </c>
      <c r="E8" s="13" t="s">
        <v>37</v>
      </c>
      <c r="F8" s="17">
        <v>27000</v>
      </c>
      <c r="G8" s="13">
        <v>9</v>
      </c>
      <c r="H8" s="17">
        <f>(Table2[[#This Row],[Salary ($)]]*12)</f>
        <v>324000</v>
      </c>
      <c r="I8" s="17">
        <f>0.1*Table2[[#This Row],[Annual Salary]]</f>
        <v>32400</v>
      </c>
    </row>
    <row r="9" spans="3:9" x14ac:dyDescent="0.25">
      <c r="C9" s="13">
        <v>4</v>
      </c>
      <c r="D9" s="13" t="s">
        <v>28</v>
      </c>
      <c r="E9" s="13" t="s">
        <v>39</v>
      </c>
      <c r="F9" s="17">
        <v>25000</v>
      </c>
      <c r="G9" s="13">
        <v>6</v>
      </c>
      <c r="H9" s="17">
        <f>(Table2[[#This Row],[Salary ($)]]*12)</f>
        <v>300000</v>
      </c>
      <c r="I9" s="17">
        <f>0.1*Table2[[#This Row],[Annual Salary]]</f>
        <v>30000</v>
      </c>
    </row>
    <row r="10" spans="3:9" x14ac:dyDescent="0.25">
      <c r="C10" s="13">
        <v>8</v>
      </c>
      <c r="D10" s="13" t="s">
        <v>32</v>
      </c>
      <c r="E10" s="13" t="s">
        <v>39</v>
      </c>
      <c r="F10" s="17">
        <v>25000</v>
      </c>
      <c r="G10" s="13">
        <v>6</v>
      </c>
      <c r="H10" s="17">
        <f>(Table2[[#This Row],[Salary ($)]]*12)</f>
        <v>300000</v>
      </c>
      <c r="I10" s="17">
        <f>0.1*Table2[[#This Row],[Annual Salary]]</f>
        <v>30000</v>
      </c>
    </row>
    <row r="11" spans="3:9" x14ac:dyDescent="0.25">
      <c r="C11" s="13">
        <v>11</v>
      </c>
      <c r="D11" s="13" t="s">
        <v>35</v>
      </c>
      <c r="E11" s="13" t="s">
        <v>41</v>
      </c>
      <c r="F11" s="17">
        <v>18000</v>
      </c>
      <c r="G11" s="13">
        <v>8</v>
      </c>
      <c r="H11" s="17">
        <f>(Table2[[#This Row],[Salary ($)]]*12)</f>
        <v>216000</v>
      </c>
      <c r="I11" s="17">
        <f>0.1*Table2[[#This Row],[Annual Salary]]</f>
        <v>21600</v>
      </c>
    </row>
    <row r="12" spans="3:9" x14ac:dyDescent="0.25">
      <c r="C12" s="13">
        <v>7</v>
      </c>
      <c r="D12" s="13" t="s">
        <v>31</v>
      </c>
      <c r="E12" s="13" t="s">
        <v>40</v>
      </c>
      <c r="F12" s="17">
        <v>15000</v>
      </c>
      <c r="G12" s="13">
        <v>4</v>
      </c>
      <c r="H12" s="17">
        <f>(Table2[[#This Row],[Salary ($)]]*12)</f>
        <v>180000</v>
      </c>
      <c r="I12" s="17">
        <f>0.1*Table2[[#This Row],[Annual Salary]]</f>
        <v>18000</v>
      </c>
    </row>
    <row r="13" spans="3:9" x14ac:dyDescent="0.25">
      <c r="C13" s="13">
        <v>14</v>
      </c>
      <c r="D13" s="13" t="s">
        <v>23</v>
      </c>
      <c r="E13" s="13" t="s">
        <v>42</v>
      </c>
      <c r="F13" s="17">
        <v>11000</v>
      </c>
      <c r="G13" s="13">
        <v>23</v>
      </c>
      <c r="H13" s="17">
        <f>(Table2[[#This Row],[Salary ($)]]*12)</f>
        <v>132000</v>
      </c>
      <c r="I13" s="17">
        <f>0.1*Table2[[#This Row],[Annual Salary]]</f>
        <v>13200</v>
      </c>
    </row>
    <row r="14" spans="3:9" x14ac:dyDescent="0.25">
      <c r="C14" s="13">
        <v>15</v>
      </c>
      <c r="D14" s="13" t="s">
        <v>24</v>
      </c>
      <c r="E14" s="13" t="s">
        <v>37</v>
      </c>
      <c r="F14" s="17">
        <v>10400</v>
      </c>
      <c r="G14" s="13">
        <v>14</v>
      </c>
      <c r="H14" s="17">
        <f>(Table2[[#This Row],[Salary ($)]]*12)</f>
        <v>124800</v>
      </c>
      <c r="I14" s="17">
        <f>0.1*Table2[[#This Row],[Annual Salary]]</f>
        <v>12480</v>
      </c>
    </row>
    <row r="15" spans="3:9" x14ac:dyDescent="0.25">
      <c r="C15" s="13">
        <v>1</v>
      </c>
      <c r="D15" s="13" t="s">
        <v>25</v>
      </c>
      <c r="E15" s="13" t="s">
        <v>36</v>
      </c>
      <c r="F15" s="17">
        <v>5000</v>
      </c>
      <c r="G15" s="13">
        <v>2</v>
      </c>
      <c r="H15" s="17">
        <f>(Table2[[#This Row],[Salary ($)]]*12)</f>
        <v>60000</v>
      </c>
      <c r="I15" s="17">
        <f>0.1*Table2[[#This Row],[Annual Salary]]</f>
        <v>6000</v>
      </c>
    </row>
    <row r="16" spans="3:9" x14ac:dyDescent="0.25">
      <c r="C16" s="13">
        <v>6</v>
      </c>
      <c r="D16" s="13" t="s">
        <v>30</v>
      </c>
      <c r="E16" s="13" t="s">
        <v>36</v>
      </c>
      <c r="F16" s="17">
        <v>4800</v>
      </c>
      <c r="G16" s="13">
        <v>2</v>
      </c>
      <c r="H16" s="17">
        <f>(Table2[[#This Row],[Salary ($)]]*12)</f>
        <v>57600</v>
      </c>
      <c r="I16" s="17">
        <f>0.1*Table2[[#This Row],[Annual Salary]]</f>
        <v>5760</v>
      </c>
    </row>
    <row r="17" spans="3:9" x14ac:dyDescent="0.25">
      <c r="C17" s="13">
        <v>2</v>
      </c>
      <c r="D17" s="13" t="s">
        <v>26</v>
      </c>
      <c r="E17" s="13" t="s">
        <v>37</v>
      </c>
      <c r="F17" s="17">
        <v>4500</v>
      </c>
      <c r="G17" s="13">
        <v>3</v>
      </c>
      <c r="H17" s="17">
        <f>(Table2[[#This Row],[Salary ($)]]*12)</f>
        <v>54000</v>
      </c>
      <c r="I17" s="17">
        <f>0.1*Table2[[#This Row],[Annual Salary]]</f>
        <v>5400</v>
      </c>
    </row>
    <row r="18" spans="3:9" x14ac:dyDescent="0.25">
      <c r="C18" s="13">
        <v>3</v>
      </c>
      <c r="D18" s="13" t="s">
        <v>27</v>
      </c>
      <c r="E18" s="13" t="s">
        <v>38</v>
      </c>
      <c r="F18" s="17">
        <v>4000</v>
      </c>
      <c r="G18" s="13">
        <v>1</v>
      </c>
      <c r="H18" s="17">
        <f>(Table2[[#This Row],[Salary ($)]]*12)</f>
        <v>48000</v>
      </c>
      <c r="I18" s="17">
        <f>0.1*Table2[[#This Row],[Annual Salary]]</f>
        <v>4800</v>
      </c>
    </row>
    <row r="19" spans="3:9" x14ac:dyDescent="0.25">
      <c r="C19" s="13" t="s">
        <v>44</v>
      </c>
      <c r="D19" s="13"/>
      <c r="E19" s="13"/>
      <c r="F19" s="17">
        <f>SUM(F4:F18)</f>
        <v>281700</v>
      </c>
      <c r="G19" s="13"/>
      <c r="H19" s="17">
        <f>(Table2[[#This Row],[Salary ($)]]*12)</f>
        <v>3380400</v>
      </c>
      <c r="I19" s="17">
        <f>0.1*Table2[[#This Row],[Annual Salary]]</f>
        <v>338040</v>
      </c>
    </row>
    <row r="22" spans="3:9" x14ac:dyDescent="0.25">
      <c r="D22" s="18" t="s">
        <v>50</v>
      </c>
      <c r="E22" s="19">
        <f>SUM(F4:F18)</f>
        <v>281700</v>
      </c>
    </row>
    <row r="23" spans="3:9" x14ac:dyDescent="0.25">
      <c r="D23" s="18" t="s">
        <v>51</v>
      </c>
      <c r="E23" s="19">
        <f>AVERAGE(F4:F18)</f>
        <v>18780</v>
      </c>
    </row>
    <row r="24" spans="3:9" x14ac:dyDescent="0.25">
      <c r="D24" s="18" t="s">
        <v>52</v>
      </c>
      <c r="E24" s="19">
        <f>MAX(F4:F18)</f>
        <v>38000</v>
      </c>
    </row>
    <row r="25" spans="3:9" x14ac:dyDescent="0.25">
      <c r="D25" s="18" t="s">
        <v>53</v>
      </c>
      <c r="E25" s="19">
        <f>MIN(F4:F18)</f>
        <v>4000</v>
      </c>
    </row>
    <row r="26" spans="3:9" x14ac:dyDescent="0.25">
      <c r="D26" s="11" t="s">
        <v>54</v>
      </c>
      <c r="E26" s="10">
        <f>COUNT(C4:C18)</f>
        <v>15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0C93D-E6AB-4235-8D55-7A79F9D7D3FB}">
  <dimension ref="B3:F9"/>
  <sheetViews>
    <sheetView showGridLines="0" workbookViewId="0">
      <selection activeCell="B14" sqref="B14"/>
    </sheetView>
  </sheetViews>
  <sheetFormatPr defaultRowHeight="15" x14ac:dyDescent="0.25"/>
  <cols>
    <col min="2" max="2" width="13.42578125" bestFit="1" customWidth="1"/>
    <col min="3" max="3" width="14" bestFit="1" customWidth="1"/>
    <col min="6" max="6" width="42.42578125" bestFit="1" customWidth="1"/>
  </cols>
  <sheetData>
    <row r="3" spans="2:6" x14ac:dyDescent="0.25">
      <c r="B3" s="56" t="s">
        <v>97</v>
      </c>
      <c r="C3" s="31" t="s">
        <v>65</v>
      </c>
      <c r="E3" t="s">
        <v>106</v>
      </c>
      <c r="F3" t="s">
        <v>113</v>
      </c>
    </row>
    <row r="4" spans="2:6" x14ac:dyDescent="0.25">
      <c r="B4" s="49" t="s">
        <v>59</v>
      </c>
      <c r="C4" s="57">
        <v>52500</v>
      </c>
      <c r="E4" t="s">
        <v>108</v>
      </c>
      <c r="F4" t="s">
        <v>59</v>
      </c>
    </row>
    <row r="5" spans="2:6" x14ac:dyDescent="0.25">
      <c r="B5" s="49" t="s">
        <v>62</v>
      </c>
      <c r="C5" s="57">
        <v>11400</v>
      </c>
    </row>
    <row r="6" spans="2:6" x14ac:dyDescent="0.25">
      <c r="B6" s="49" t="s">
        <v>63</v>
      </c>
      <c r="C6" s="57">
        <v>9600</v>
      </c>
    </row>
    <row r="7" spans="2:6" x14ac:dyDescent="0.25">
      <c r="B7" s="49" t="s">
        <v>61</v>
      </c>
      <c r="C7" s="57">
        <v>4500</v>
      </c>
    </row>
    <row r="8" spans="2:6" x14ac:dyDescent="0.25">
      <c r="B8" s="49" t="s">
        <v>60</v>
      </c>
      <c r="C8" s="57">
        <v>3000</v>
      </c>
    </row>
    <row r="9" spans="2:6" x14ac:dyDescent="0.25">
      <c r="B9" s="49" t="s">
        <v>98</v>
      </c>
      <c r="C9" s="57">
        <v>81000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B3F4D-9BD9-4B32-89B7-0529587BA104}">
  <dimension ref="A1:F15"/>
  <sheetViews>
    <sheetView workbookViewId="0">
      <selection activeCell="E12" sqref="E12:E15"/>
    </sheetView>
  </sheetViews>
  <sheetFormatPr defaultRowHeight="15" x14ac:dyDescent="0.25"/>
  <cols>
    <col min="3" max="3" width="12.5703125" bestFit="1" customWidth="1"/>
    <col min="4" max="4" width="15.7109375" bestFit="1" customWidth="1"/>
    <col min="5" max="5" width="11.28515625" customWidth="1"/>
    <col min="6" max="6" width="11.140625" customWidth="1"/>
  </cols>
  <sheetData>
    <row r="1" spans="1:6" x14ac:dyDescent="0.25">
      <c r="A1" t="s">
        <v>55</v>
      </c>
    </row>
    <row r="4" spans="1:6" x14ac:dyDescent="0.25">
      <c r="C4" s="1" t="s">
        <v>56</v>
      </c>
      <c r="D4" s="2" t="s">
        <v>57</v>
      </c>
      <c r="E4" s="20" t="s">
        <v>58</v>
      </c>
      <c r="F4" s="12" t="s">
        <v>64</v>
      </c>
    </row>
    <row r="5" spans="1:6" x14ac:dyDescent="0.25">
      <c r="C5" s="21" t="s">
        <v>59</v>
      </c>
      <c r="D5" s="22">
        <v>15</v>
      </c>
      <c r="E5" s="54">
        <v>3500</v>
      </c>
      <c r="F5" s="41">
        <f>PRODUCT(Table6[[#This Row],[Units Sold]:[Unit Price]])</f>
        <v>52500</v>
      </c>
    </row>
    <row r="6" spans="1:6" x14ac:dyDescent="0.25">
      <c r="C6" s="21" t="s">
        <v>60</v>
      </c>
      <c r="D6" s="22">
        <v>40</v>
      </c>
      <c r="E6" s="54">
        <v>75</v>
      </c>
      <c r="F6" s="41">
        <f>PRODUCT(Table6[[#This Row],[Units Sold]:[Unit Price]])</f>
        <v>3000</v>
      </c>
    </row>
    <row r="7" spans="1:6" x14ac:dyDescent="0.25">
      <c r="C7" s="21" t="s">
        <v>61</v>
      </c>
      <c r="D7" s="22">
        <v>25</v>
      </c>
      <c r="E7" s="54">
        <v>180</v>
      </c>
      <c r="F7" s="41">
        <f>PRODUCT(Table6[[#This Row],[Units Sold]:[Unit Price]])</f>
        <v>4500</v>
      </c>
    </row>
    <row r="8" spans="1:6" x14ac:dyDescent="0.25">
      <c r="C8" s="21" t="s">
        <v>62</v>
      </c>
      <c r="D8" s="22">
        <v>12</v>
      </c>
      <c r="E8" s="54">
        <v>950</v>
      </c>
      <c r="F8" s="41">
        <f>PRODUCT(Table6[[#This Row],[Units Sold]:[Unit Price]])</f>
        <v>11400</v>
      </c>
    </row>
    <row r="9" spans="1:6" x14ac:dyDescent="0.25">
      <c r="C9" s="24" t="s">
        <v>63</v>
      </c>
      <c r="D9" s="25">
        <v>8</v>
      </c>
      <c r="E9" s="55">
        <v>1200</v>
      </c>
      <c r="F9" s="41">
        <f>PRODUCT(Table6[[#This Row],[Units Sold]:[Unit Price]])</f>
        <v>9600</v>
      </c>
    </row>
    <row r="12" spans="1:6" x14ac:dyDescent="0.25">
      <c r="D12" s="18" t="s">
        <v>65</v>
      </c>
      <c r="E12" s="41">
        <f>SUM(Table6[Revenue])</f>
        <v>81000</v>
      </c>
    </row>
    <row r="13" spans="1:6" x14ac:dyDescent="0.25">
      <c r="D13" s="18" t="s">
        <v>68</v>
      </c>
      <c r="E13" s="41">
        <f>AVERAGE(Table6[Revenue])</f>
        <v>16200</v>
      </c>
    </row>
    <row r="14" spans="1:6" x14ac:dyDescent="0.25">
      <c r="D14" s="18" t="s">
        <v>66</v>
      </c>
      <c r="E14" s="41">
        <f>MAX(Table6[Revenue])</f>
        <v>52500</v>
      </c>
    </row>
    <row r="15" spans="1:6" x14ac:dyDescent="0.25">
      <c r="D15" s="11" t="s">
        <v>67</v>
      </c>
      <c r="E15" s="58">
        <f>MIN(Table6[Revenue])</f>
        <v>3000</v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84833-CFD9-485B-BC81-1F2D3F619FDE}">
  <dimension ref="C2:K16"/>
  <sheetViews>
    <sheetView tabSelected="1" workbookViewId="0">
      <selection activeCell="J12" sqref="J12"/>
    </sheetView>
  </sheetViews>
  <sheetFormatPr defaultRowHeight="15" x14ac:dyDescent="0.25"/>
  <cols>
    <col min="3" max="3" width="26" bestFit="1" customWidth="1"/>
    <col min="6" max="6" width="26.28515625" bestFit="1" customWidth="1"/>
    <col min="10" max="10" width="23.28515625" bestFit="1" customWidth="1"/>
    <col min="11" max="11" width="11.5703125" bestFit="1" customWidth="1"/>
  </cols>
  <sheetData>
    <row r="2" spans="3:11" ht="24" x14ac:dyDescent="0.4">
      <c r="C2" s="61" t="s">
        <v>127</v>
      </c>
      <c r="D2" s="62"/>
      <c r="E2" s="62"/>
      <c r="F2" s="62"/>
      <c r="G2" s="62"/>
      <c r="H2" s="62"/>
      <c r="I2" s="62"/>
      <c r="J2" s="62"/>
      <c r="K2" s="62"/>
    </row>
    <row r="3" spans="3:11" ht="24" x14ac:dyDescent="0.4">
      <c r="C3" s="63"/>
      <c r="D3" s="64"/>
      <c r="E3" s="64"/>
      <c r="F3" s="64"/>
      <c r="G3" s="64"/>
      <c r="H3" s="64"/>
      <c r="I3" s="64"/>
      <c r="J3" s="64"/>
      <c r="K3" s="64"/>
    </row>
    <row r="4" spans="3:11" ht="18" x14ac:dyDescent="0.25">
      <c r="C4" s="60" t="s">
        <v>118</v>
      </c>
      <c r="D4" s="60"/>
      <c r="F4" s="60" t="s">
        <v>119</v>
      </c>
      <c r="J4" s="60" t="s">
        <v>123</v>
      </c>
    </row>
    <row r="5" spans="3:11" x14ac:dyDescent="0.25">
      <c r="C5" s="49" t="s">
        <v>114</v>
      </c>
      <c r="D5" s="44" t="s">
        <v>10</v>
      </c>
      <c r="F5" s="51" t="s">
        <v>120</v>
      </c>
      <c r="G5" s="44" t="s">
        <v>82</v>
      </c>
      <c r="J5" s="51" t="s">
        <v>124</v>
      </c>
      <c r="K5" s="44" t="s">
        <v>59</v>
      </c>
    </row>
    <row r="6" spans="3:11" x14ac:dyDescent="0.25">
      <c r="C6" s="49" t="s">
        <v>115</v>
      </c>
      <c r="D6" s="65" t="s">
        <v>7</v>
      </c>
      <c r="E6" s="28"/>
      <c r="F6" s="51" t="s">
        <v>121</v>
      </c>
      <c r="G6" s="44" t="s">
        <v>81</v>
      </c>
      <c r="J6" s="51" t="s">
        <v>125</v>
      </c>
      <c r="K6" s="44" t="s">
        <v>60</v>
      </c>
    </row>
    <row r="7" spans="3:11" x14ac:dyDescent="0.25">
      <c r="C7" s="49" t="s">
        <v>116</v>
      </c>
      <c r="D7" s="5">
        <v>5</v>
      </c>
      <c r="E7" s="30"/>
      <c r="F7" s="51" t="s">
        <v>122</v>
      </c>
      <c r="G7" s="44" t="s">
        <v>82</v>
      </c>
      <c r="J7" s="51" t="s">
        <v>126</v>
      </c>
      <c r="K7" s="66">
        <v>81000</v>
      </c>
    </row>
    <row r="8" spans="3:11" x14ac:dyDescent="0.25">
      <c r="C8" s="49" t="s">
        <v>117</v>
      </c>
      <c r="D8" s="5">
        <v>5</v>
      </c>
      <c r="E8" s="27"/>
    </row>
    <row r="9" spans="3:11" x14ac:dyDescent="0.25">
      <c r="D9" s="29"/>
      <c r="E9" s="27"/>
    </row>
    <row r="10" spans="3:11" x14ac:dyDescent="0.25">
      <c r="D10" s="29"/>
      <c r="E10" s="27"/>
    </row>
    <row r="11" spans="3:11" x14ac:dyDescent="0.25">
      <c r="C11" s="67" t="s">
        <v>130</v>
      </c>
      <c r="D11" s="67"/>
      <c r="E11" s="67"/>
      <c r="F11" s="67"/>
      <c r="G11" s="67"/>
    </row>
    <row r="12" spans="3:11" x14ac:dyDescent="0.25">
      <c r="C12" s="67" t="s">
        <v>131</v>
      </c>
      <c r="D12" s="67"/>
      <c r="E12" s="67"/>
      <c r="F12" s="67"/>
      <c r="G12" s="67"/>
    </row>
    <row r="13" spans="3:11" x14ac:dyDescent="0.25">
      <c r="C13" s="67" t="s">
        <v>132</v>
      </c>
      <c r="D13" s="67"/>
      <c r="E13" s="67"/>
      <c r="F13" s="67"/>
      <c r="G13" s="67"/>
    </row>
    <row r="14" spans="3:11" x14ac:dyDescent="0.25">
      <c r="C14" s="67" t="s">
        <v>133</v>
      </c>
      <c r="D14" s="67"/>
      <c r="E14" s="67"/>
      <c r="F14" s="67"/>
      <c r="G14" s="67"/>
    </row>
    <row r="15" spans="3:11" x14ac:dyDescent="0.25">
      <c r="C15" s="67" t="s">
        <v>134</v>
      </c>
      <c r="D15" s="67"/>
      <c r="E15" s="67"/>
      <c r="F15" s="67"/>
      <c r="G15" s="67"/>
    </row>
    <row r="16" spans="3:11" x14ac:dyDescent="0.25">
      <c r="C16" s="67" t="s">
        <v>135</v>
      </c>
      <c r="D16" s="67"/>
      <c r="E16" s="67"/>
      <c r="F16" s="67"/>
      <c r="G16" s="67"/>
    </row>
  </sheetData>
  <mergeCells count="7">
    <mergeCell ref="C16:G16"/>
    <mergeCell ref="C2:K2"/>
    <mergeCell ref="C11:G11"/>
    <mergeCell ref="C12:G12"/>
    <mergeCell ref="C13:G13"/>
    <mergeCell ref="C14:G14"/>
    <mergeCell ref="C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Pivot - Student</vt:lpstr>
      <vt:lpstr>Student Performance</vt:lpstr>
      <vt:lpstr>Employee-Pivot</vt:lpstr>
      <vt:lpstr>Employee Performance</vt:lpstr>
      <vt:lpstr>Employee Data</vt:lpstr>
      <vt:lpstr>Sales-Pivot</vt:lpstr>
      <vt:lpstr>Sales Analysis</vt:lpstr>
      <vt:lpstr>Management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Peter</dc:creator>
  <cp:lastModifiedBy>Emmanuel Peter</cp:lastModifiedBy>
  <dcterms:created xsi:type="dcterms:W3CDTF">2026-08-01T16:26:20Z</dcterms:created>
  <dcterms:modified xsi:type="dcterms:W3CDTF">2026-08-03T00:44:43Z</dcterms:modified>
</cp:coreProperties>
</file>